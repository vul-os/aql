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philip.read\Downloads\"/>
    </mc:Choice>
  </mc:AlternateContent>
  <xr:revisionPtr revIDLastSave="0" documentId="8_{ACA00A47-6341-439D-BC94-5408657BDBEE}" xr6:coauthVersionLast="47" xr6:coauthVersionMax="47" xr10:uidLastSave="{00000000-0000-0000-0000-000000000000}"/>
  <bookViews>
    <workbookView xWindow="1335" yWindow="1875" windowWidth="21600" windowHeight="12855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6" i="1" l="1"/>
  <c r="U66" i="1"/>
  <c r="W66" i="1"/>
  <c r="Q66" i="1"/>
  <c r="Q65" i="1"/>
  <c r="S65" i="1"/>
  <c r="U65" i="1"/>
  <c r="W65" i="1"/>
  <c r="W41" i="1"/>
  <c r="U41" i="1"/>
  <c r="S41" i="1"/>
  <c r="Q41" i="1"/>
  <c r="W56" i="1"/>
  <c r="U56" i="1"/>
  <c r="S56" i="1"/>
  <c r="Q56" i="1"/>
  <c r="W58" i="1"/>
  <c r="U58" i="1"/>
  <c r="S58" i="1"/>
  <c r="Q58" i="1"/>
  <c r="W57" i="1"/>
  <c r="U57" i="1"/>
  <c r="S57" i="1"/>
  <c r="Q57" i="1"/>
  <c r="W55" i="1"/>
  <c r="U55" i="1"/>
  <c r="S55" i="1"/>
  <c r="Q55" i="1"/>
  <c r="W54" i="1"/>
  <c r="U54" i="1"/>
  <c r="S54" i="1"/>
  <c r="Q54" i="1"/>
  <c r="W53" i="1"/>
  <c r="U53" i="1"/>
  <c r="S53" i="1"/>
  <c r="Q53" i="1"/>
  <c r="S46" i="1"/>
  <c r="U46" i="1"/>
  <c r="W46" i="1"/>
  <c r="Q46" i="1"/>
  <c r="S39" i="1"/>
  <c r="U39" i="1"/>
  <c r="W39" i="1"/>
  <c r="S40" i="1"/>
  <c r="U40" i="1"/>
  <c r="W40" i="1"/>
  <c r="S42" i="1"/>
  <c r="U42" i="1"/>
  <c r="W42" i="1"/>
  <c r="S43" i="1"/>
  <c r="U43" i="1"/>
  <c r="W43" i="1"/>
  <c r="S44" i="1"/>
  <c r="U44" i="1"/>
  <c r="W44" i="1"/>
  <c r="S45" i="1"/>
  <c r="U45" i="1"/>
  <c r="W45" i="1"/>
  <c r="S47" i="1"/>
  <c r="U47" i="1"/>
  <c r="W47" i="1"/>
  <c r="S48" i="1"/>
  <c r="U48" i="1"/>
  <c r="W48" i="1"/>
  <c r="S49" i="1"/>
  <c r="U49" i="1"/>
  <c r="W49" i="1"/>
  <c r="S50" i="1"/>
  <c r="U50" i="1"/>
  <c r="W50" i="1"/>
  <c r="Q50" i="1"/>
  <c r="Q49" i="1"/>
  <c r="Q48" i="1"/>
  <c r="Q47" i="1"/>
  <c r="Q45" i="1"/>
  <c r="Q44" i="1"/>
  <c r="Q43" i="1"/>
  <c r="Q42" i="1"/>
  <c r="Q40" i="1"/>
  <c r="Q39" i="1"/>
  <c r="S16" i="1"/>
  <c r="S15" i="1" s="1"/>
  <c r="U16" i="1"/>
  <c r="U15" i="1" s="1"/>
  <c r="W16" i="1"/>
  <c r="W15" i="1" s="1"/>
  <c r="S19" i="1"/>
  <c r="U19" i="1"/>
  <c r="W19" i="1"/>
  <c r="S20" i="1"/>
  <c r="U20" i="1"/>
  <c r="W20" i="1"/>
  <c r="S21" i="1"/>
  <c r="U21" i="1"/>
  <c r="W21" i="1"/>
  <c r="S23" i="1"/>
  <c r="U23" i="1"/>
  <c r="W23" i="1"/>
  <c r="S24" i="1"/>
  <c r="U24" i="1"/>
  <c r="W24" i="1"/>
  <c r="S25" i="1"/>
  <c r="U25" i="1"/>
  <c r="W25" i="1"/>
  <c r="S26" i="1"/>
  <c r="U26" i="1"/>
  <c r="W26" i="1"/>
  <c r="S27" i="1"/>
  <c r="U27" i="1"/>
  <c r="W27" i="1"/>
  <c r="S28" i="1"/>
  <c r="U28" i="1"/>
  <c r="W28" i="1"/>
  <c r="S29" i="1"/>
  <c r="U29" i="1"/>
  <c r="W29" i="1"/>
  <c r="S30" i="1"/>
  <c r="U30" i="1"/>
  <c r="W30" i="1"/>
  <c r="S31" i="1"/>
  <c r="U31" i="1"/>
  <c r="W31" i="1"/>
  <c r="S32" i="1"/>
  <c r="U32" i="1"/>
  <c r="W32" i="1"/>
  <c r="S33" i="1"/>
  <c r="U33" i="1"/>
  <c r="W33" i="1"/>
  <c r="S34" i="1"/>
  <c r="U34" i="1"/>
  <c r="W34" i="1"/>
  <c r="S35" i="1"/>
  <c r="U35" i="1"/>
  <c r="W35" i="1"/>
  <c r="S36" i="1"/>
  <c r="U36" i="1"/>
  <c r="W36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1" i="1"/>
  <c r="Q20" i="1"/>
  <c r="Q19" i="1"/>
  <c r="Q16" i="1"/>
  <c r="Q15" i="1" s="1"/>
  <c r="U13" i="1"/>
  <c r="U10" i="1" s="1"/>
  <c r="W13" i="1"/>
  <c r="W10" i="1" s="1"/>
  <c r="S12" i="1"/>
  <c r="U12" i="1"/>
  <c r="W12" i="1"/>
  <c r="S11" i="1"/>
  <c r="S10" i="1" s="1"/>
  <c r="Q11" i="1"/>
  <c r="Q10" i="1" s="1"/>
  <c r="U18" i="1" l="1"/>
  <c r="W18" i="1"/>
  <c r="U38" i="1"/>
  <c r="Q38" i="1"/>
  <c r="Q18" i="1"/>
  <c r="W38" i="1"/>
  <c r="S38" i="1"/>
  <c r="S18" i="1"/>
  <c r="S52" i="1"/>
  <c r="U52" i="1"/>
  <c r="W52" i="1"/>
  <c r="Q52" i="1"/>
  <c r="W8" i="1" l="1"/>
  <c r="S8" i="1"/>
  <c r="U8" i="1"/>
  <c r="Q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Read, Philip (Surface Solutions)</author>
    <author>Hp</author>
  </authors>
  <commentList>
    <comment ref="Q5" authorId="0" shapeId="0" xr:uid="{FC6CAE78-2557-42E6-86AA-25E2E0BBC858}">
      <text>
        <r>
          <rPr>
            <b/>
            <sz val="9"/>
            <color indexed="81"/>
            <rFont val="Tahoma"/>
            <family val="2"/>
          </rPr>
          <t>Price is for all parts required to build the mower only
Prices change daily so this is approximate!</t>
        </r>
      </text>
    </comment>
    <comment ref="G11" authorId="1" shapeId="0" xr:uid="{037DE27F-542E-4195-8EB8-61BAE8EF40B3}">
      <text>
        <r>
          <rPr>
            <b/>
            <sz val="16"/>
            <color indexed="81"/>
            <rFont val="Segoe UI"/>
            <family val="2"/>
          </rPr>
          <t>Under Powered - Dont use</t>
        </r>
      </text>
    </comment>
    <comment ref="I11" authorId="1" shapeId="0" xr:uid="{2744C9ED-76BC-4036-B799-F0B91740B2D3}">
      <text>
        <r>
          <rPr>
            <b/>
            <sz val="16"/>
            <color indexed="81"/>
            <rFont val="Segoe UI"/>
            <family val="2"/>
          </rPr>
          <t>Under Powered - Dont use</t>
        </r>
      </text>
    </comment>
    <comment ref="C12" authorId="1" shapeId="0" xr:uid="{10AA0B71-55BE-426A-BA21-2C3976EB0C45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4"/>
            <color indexed="81"/>
            <rFont val="Segoe UI"/>
            <family val="2"/>
          </rPr>
          <t>Dont Fit the Chassis</t>
        </r>
      </text>
    </comment>
    <comment ref="E12" authorId="1" shapeId="0" xr:uid="{B3C86335-038A-49F3-A022-99C964B2F215}">
      <text>
        <r>
          <rPr>
            <b/>
            <sz val="14"/>
            <color indexed="81"/>
            <rFont val="Segoe UI"/>
            <family val="2"/>
          </rPr>
          <t>These motors can be used x 2
Then order 2x L298N Motor Drivers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C13" authorId="1" shapeId="0" xr:uid="{1BB22D98-57FC-4BDD-9CC4-6872E0806627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4"/>
            <color indexed="81"/>
            <rFont val="Segoe UI"/>
            <family val="2"/>
          </rPr>
          <t>Dont Fit the Chassis</t>
        </r>
      </text>
    </comment>
    <comment ref="E13" authorId="1" shapeId="0" xr:uid="{2A844496-112D-4DFF-ABA0-EC90BF8CE1FE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4"/>
            <color indexed="81"/>
            <rFont val="Segoe UI"/>
            <family val="2"/>
          </rPr>
          <t>Dont Fit the Chassis</t>
        </r>
      </text>
    </comment>
    <comment ref="A22" authorId="0" shapeId="0" xr:uid="{CD9B8225-4D90-4073-9EF9-C2A606E0163A}">
      <text>
        <r>
          <rPr>
            <b/>
            <sz val="9"/>
            <color indexed="81"/>
            <rFont val="Tahoma"/>
            <family val="2"/>
          </rPr>
          <t xml:space="preserve">Not required with PCB
Without PCB x1 is required
</t>
        </r>
      </text>
    </comment>
    <comment ref="E34" authorId="1" shapeId="0" xr:uid="{495B94BE-74FE-439A-9835-D8198CC81156}">
      <text>
        <r>
          <rPr>
            <b/>
            <sz val="14"/>
            <color indexed="81"/>
            <rFont val="Segoe UI"/>
            <family val="2"/>
          </rPr>
          <t>2 required if using power motors</t>
        </r>
      </text>
    </comment>
    <comment ref="N43" authorId="0" shapeId="0" xr:uid="{E17C90A5-5EB7-4837-9149-FD910F199C57}">
      <text>
        <r>
          <rPr>
            <b/>
            <sz val="9"/>
            <color indexed="81"/>
            <rFont val="Tahoma"/>
            <family val="2"/>
          </rPr>
          <t>Pack of 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44" authorId="0" shapeId="0" xr:uid="{7E948656-BD41-46BE-9953-49F327F4D654}">
      <text>
        <r>
          <rPr>
            <b/>
            <sz val="9"/>
            <color indexed="81"/>
            <rFont val="Tahoma"/>
            <family val="2"/>
          </rPr>
          <t xml:space="preserve">Pack of 4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0" authorId="1" shapeId="0" xr:uid="{3B094069-BBBB-45EA-B2CB-C6E0CFF131C4}">
      <text>
        <r>
          <rPr>
            <b/>
            <sz val="14"/>
            <color indexed="81"/>
            <rFont val="Segoe UI"/>
            <family val="2"/>
          </rPr>
          <t>2 Required if building perimeter wire transmitter (none PCB version)</t>
        </r>
        <r>
          <rPr>
            <b/>
            <sz val="9"/>
            <color indexed="81"/>
            <rFont val="Segoe UI"/>
            <family val="2"/>
          </rPr>
          <t xml:space="preserve">
</t>
        </r>
      </text>
    </comment>
    <comment ref="E50" authorId="1" shapeId="0" xr:uid="{45BC6C7A-4D80-46D4-BC37-C9746747C6B1}">
      <text>
        <r>
          <rPr>
            <b/>
            <sz val="14"/>
            <color indexed="81"/>
            <rFont val="Segoe UI"/>
            <family val="2"/>
          </rPr>
          <t>2 Required if building perimeter wire transmitter (none PCB version)</t>
        </r>
        <r>
          <rPr>
            <b/>
            <sz val="9"/>
            <color indexed="81"/>
            <rFont val="Segoe UI"/>
            <family val="2"/>
          </rPr>
          <t xml:space="preserve">
</t>
        </r>
      </text>
    </comment>
    <comment ref="G50" authorId="1" shapeId="0" xr:uid="{A1D009DA-A6B7-4264-8CF3-C791479546F0}">
      <text>
        <r>
          <rPr>
            <b/>
            <sz val="14"/>
            <color indexed="81"/>
            <rFont val="Segoe UI"/>
            <family val="2"/>
          </rPr>
          <t>2 Required if building perimeter wire transmitter (none PCB version)</t>
        </r>
        <r>
          <rPr>
            <b/>
            <sz val="9"/>
            <color indexed="81"/>
            <rFont val="Segoe UI"/>
            <family val="2"/>
          </rPr>
          <t xml:space="preserve">
</t>
        </r>
      </text>
    </comment>
    <comment ref="I50" authorId="1" shapeId="0" xr:uid="{D683719A-AF26-4C79-B165-423FAA64E710}">
      <text>
        <r>
          <rPr>
            <b/>
            <sz val="14"/>
            <color indexed="81"/>
            <rFont val="Segoe UI"/>
            <family val="2"/>
          </rPr>
          <t>2 Required if building perimeter wire transmitter (none PCB version)</t>
        </r>
        <r>
          <rPr>
            <b/>
            <sz val="9"/>
            <color indexed="81"/>
            <rFont val="Segoe UI"/>
            <family val="2"/>
          </rPr>
          <t xml:space="preserve">
</t>
        </r>
      </text>
    </comment>
    <comment ref="A65" authorId="1" shapeId="0" xr:uid="{375214CF-C491-41F2-8E41-6B439EC6616A}">
      <text>
        <r>
          <rPr>
            <b/>
            <sz val="16"/>
            <color indexed="81"/>
            <rFont val="Segoe UI"/>
            <family val="2"/>
          </rPr>
          <t>None PCB Mower Parts not required if this build pack is purchased</t>
        </r>
        <r>
          <rPr>
            <sz val="16"/>
            <color indexed="81"/>
            <rFont val="Segoe UI"/>
            <family val="2"/>
          </rPr>
          <t xml:space="preserve">
</t>
        </r>
      </text>
    </comment>
    <comment ref="A66" authorId="1" shapeId="0" xr:uid="{A39AAF33-78FF-4D16-B25B-FC76ADA72822}">
      <text>
        <r>
          <rPr>
            <b/>
            <sz val="14"/>
            <color indexed="81"/>
            <rFont val="Segoe UI"/>
            <family val="2"/>
          </rPr>
          <t>Wire transmitter components below not required if this build kit is purchased</t>
        </r>
      </text>
    </comment>
    <comment ref="E87" authorId="1" shapeId="0" xr:uid="{4F17754F-7F23-44BF-A414-BE9B6FA5898C}">
      <text>
        <r>
          <rPr>
            <b/>
            <sz val="14"/>
            <color indexed="81"/>
            <rFont val="Segoe UI"/>
            <family val="2"/>
          </rPr>
          <t>2 required if using power motors</t>
        </r>
      </text>
    </comment>
  </commentList>
</comments>
</file>

<file path=xl/sharedStrings.xml><?xml version="1.0" encoding="utf-8"?>
<sst xmlns="http://schemas.openxmlformats.org/spreadsheetml/2006/main" count="336" uniqueCount="232">
  <si>
    <t>PCB Mower</t>
  </si>
  <si>
    <t>ARDUINO Nano</t>
  </si>
  <si>
    <t>ARDUINO MEGA</t>
  </si>
  <si>
    <t>Arduinio Uno</t>
  </si>
  <si>
    <t>-</t>
  </si>
  <si>
    <t>NodeMCU</t>
  </si>
  <si>
    <t>Tilt Sensors</t>
  </si>
  <si>
    <t>Rain Sensor</t>
  </si>
  <si>
    <t>USB Jack Single</t>
  </si>
  <si>
    <t>Volt Sensor</t>
  </si>
  <si>
    <t>1 CH Relay</t>
  </si>
  <si>
    <t>USB Cable</t>
  </si>
  <si>
    <t>Li-Ion Protection Circuit</t>
  </si>
  <si>
    <t>Microswitches</t>
  </si>
  <si>
    <t>Real Time Clock</t>
  </si>
  <si>
    <t>Mower Blades</t>
  </si>
  <si>
    <t>L298N</t>
  </si>
  <si>
    <t>Arduino wires</t>
  </si>
  <si>
    <t>Fasteners</t>
  </si>
  <si>
    <t>Amount Required for each Mower</t>
  </si>
  <si>
    <t>Part Number / Description</t>
  </si>
  <si>
    <t>GB37RG</t>
  </si>
  <si>
    <t>XD37GB555</t>
  </si>
  <si>
    <t>Mower Motor 12V</t>
  </si>
  <si>
    <t>TFT Touch Screen</t>
  </si>
  <si>
    <t>Link to Product</t>
  </si>
  <si>
    <t>https://www.aliexpress.com/item/1005001329500320.html?af=465576&amp;utm_campaign=465576&amp;aff_platform=portals-tool&amp;utm_medium=cpa&amp;dp=16f9cbd120f75584b0b2e637191be9ad&amp;cv=47843&amp;pvid=2a020a4a-d8c3-4977-84af-6dc515894de2&amp;mall_affr=pr3&amp;sk=_ePNSNV&amp;aff_trace_key=37a671123dfd4cefb9b4f4931734d739-1610196409641-08435-_ePNSNV&amp;rmsg=do_not_replacement&amp;scm=1007.23534.124000.0&amp;terminal_id=5129a28bcc5647e7b029e1bc972c0c1d&amp;utm_source=admitad&amp;utm_content=47843</t>
  </si>
  <si>
    <t>x</t>
  </si>
  <si>
    <t>32RPM 12V</t>
  </si>
  <si>
    <t>https://www.aliexpress.com/item/32976004601.html?cv=47843&amp;af=465576&amp;utm_campaign=465576&amp;aff_platform=portals-tool&amp;mall_affr=pr3&amp;utm_medium=cpa&amp;sk=_ePNSNV&amp;aff_trace_key=d72807ed800e47958de79e058016bf2d-1610196953699-05077-_ePNSNV&amp;dp=0ff5e0fc4a4c4bc4dd1b28ba19c2a931&amp;terminal_id=5129a28bcc5647e7b029e1bc972c0c1d&amp;utm_source=admitad&amp;utm_content=47843</t>
  </si>
  <si>
    <t xml:space="preserve">30W XD3240    </t>
  </si>
  <si>
    <t>12V/24V 3000RPM</t>
  </si>
  <si>
    <t>12V 30RPM</t>
  </si>
  <si>
    <t>https://www.aliexpress.com/item/32344297718.html?aff_platform=api-new-link-generate&amp;sk=_bWy099B&amp;aff_trace_key=08a35b21001647779fc3b5c12d3ed96c-1610197189066-06662-_bWy099B&amp;terminal_id=5129a28bcc5647e7b029e1bc972c0c1d</t>
  </si>
  <si>
    <t xml:space="preserve">LCD Touch Screen Shield Color Module </t>
  </si>
  <si>
    <t>3.5 Inch 320 X 480</t>
  </si>
  <si>
    <t>Nano 3.0</t>
  </si>
  <si>
    <t>https://www.aliexpress.com/item/32850843888.html?af=465576&amp;utm_campaign=465576&amp;aff_platform=portals-tool&amp;utm_medium=cpa&amp;dp=03f0bf3a571fccf011aa0d44ca93f79d&amp;cv=47843&amp;pvid=c5d89935-e291-438c-87de-47ce2c59d631&amp;mall_affr=pr3&amp;sk=_ePNSNV&amp;aff_trace_key=01731af2caa6468086aa0a98975dbe98-1610197384141-04255-_ePNSNV&amp;rmsg=do_not_replacement&amp;scm=1007.23534.124000.0&amp;terminal_id=5129a28bcc5647e7b029e1bc972c0c1d&amp;utm_source=admitad&amp;utm_content=47843</t>
  </si>
  <si>
    <t>2560 R3</t>
  </si>
  <si>
    <t>with USB Cable</t>
  </si>
  <si>
    <t>https://www.aliexpress.com/item/32556087234.html</t>
  </si>
  <si>
    <t>UNO R3</t>
  </si>
  <si>
    <t>https://www.aliexpress.com/item/33040577503.html?cv=47843&amp;af=465576&amp;utm_campaign=465576&amp;aff_platform=portals-tool&amp;mall_affr=pr3&amp;utm_medium=cpa&amp;sk=_ePNSNV&amp;aff_trace_key=914e0231839c41bd8c36e88a577556d3-1610197520416-00170-_ePNSNV&amp;dp=afa991c139a6e5fddcb8f0d40a821464&amp;terminal_id=5129a28bcc5647e7b029e1bc972c0c1d&amp;utm_source=admitad&amp;utm_content=47843</t>
  </si>
  <si>
    <t>https://www.aliexpress.com/item/32665100123.html?af=465576&amp;utm_campaign=465576&amp;aff_platform=portals-tool&amp;utm_medium=cpa&amp;dp=f35eb73ab5977043d71b7efa22ec647c&amp;cv=47843&amp;pvid=4b73aa09-f01b-4058-a9f1-1adedc808770&amp;mall_affr=pr3&amp;sk=_ePNSNV&amp;aff_trace_key=6a48d41835244962b96050963e1cbba4-1610197597201-07119-_ePNSNV&amp;rmsg=do_not_replacement&amp;scm=1007.23534.124000.0&amp;terminal_id=5129a28bcc5647e7b029e1bc972c0c1d&amp;utm_source=admitad&amp;utm_content=47843</t>
  </si>
  <si>
    <t>CH340</t>
  </si>
  <si>
    <t>https://www.aliexpress.com/item/32340867544.html?af=465576&amp;utm_campaign=465576&amp;aff_platform=portals-tool&amp;utm_medium=cpa&amp;dp=fbc7c9abf1e8b445e24f0d08c57bdd39&amp;cv=47843&amp;pvid=ae6ed85f-4a71-4d33-90a3-7311412a9e48&amp;mall_affr=pr3&amp;sk=_ePNSNV&amp;aff_trace_key=b8ab6a498f284c07a3930c28fe263bce-1610198048860-03863-_ePNSNV&amp;rmsg=do_not_replacement&amp;scm=1007.23534.124000.0&amp;terminal_id=5129a28bcc5647e7b029e1bc972c0c1d&amp;utm_source=admitad&amp;utm_content=47843</t>
  </si>
  <si>
    <t>https://www.aliexpress.com/item/33055608252.html?cv=47843&amp;af=465576&amp;utm_campaign=465576&amp;aff_platform=portals-tool&amp;mall_affr=pr3&amp;utm_medium=cpa&amp;sk=_ePNSNV&amp;aff_trace_key=bf64da4102554de0932cb8fbd24c4fc4-1610198126314-06579-_ePNSNV&amp;dp=e20a47faa6d83d04ebf18c8700f115f3&amp;terminal_id=5129a28bcc5647e7b029e1bc972c0c1d&amp;utm_source=admitad&amp;utm_content=47843</t>
  </si>
  <si>
    <t xml:space="preserve">Rear Wheel Bearing </t>
  </si>
  <si>
    <t>6002RS</t>
  </si>
  <si>
    <t xml:space="preserve">Front Wheel Bearings </t>
  </si>
  <si>
    <t>15x32x9mm  Sealed</t>
  </si>
  <si>
    <t>5x16x5 mm Sealed</t>
  </si>
  <si>
    <t>6252S</t>
  </si>
  <si>
    <t>https://www.aliexpress.com/item/32851664724.html?cv=47843&amp;af=465576&amp;utm_campaign=465576&amp;aff_platform=api-new-hotproduct-download&amp;mall_affr=pr3&amp;utm_medium=cpa&amp;aff_trace_key=514db1c639914122bb1e50353cd7f1e5-1610198306954-09201&amp;dp=6a0ebdb7067bab70dca0f86d99a97e2a&amp;terminal_id=5129a28bcc5647e7b029e1bc972c0c1d&amp;tmLog=new_Detail&amp;utm_source=admitad&amp;utm_content=47843</t>
  </si>
  <si>
    <t>USB2.0</t>
  </si>
  <si>
    <t>Black</t>
  </si>
  <si>
    <t>Specifications to order</t>
  </si>
  <si>
    <t>Aduino &amp; Sensors</t>
  </si>
  <si>
    <t>https://www.aliexpress.com/item/32884941176.html?af=465576&amp;utm_campaign=465576&amp;aff_platform=portals-tool&amp;utm_medium=cpa&amp;dp=0b6ae5fb2be685f7a9d4402a3f95ca3e&amp;cv=47843&amp;pvid=b2d3f4c1-868d-4cfd-a965-d5c5bf9fc94f&amp;mall_affr=pr3&amp;sk=_ePNSNV&amp;aff_trace_key=abc2f4c9861244eba79cd505e7b98750-1610198440095-08539-_ePNSNV&amp;rmsg=do_not_replacement&amp;scm=1007.23534.124000.0&amp;terminal_id=5129a28bcc5647e7b029e1bc972c0c1d&amp;utm_source=admitad&amp;utm_content=47843</t>
  </si>
  <si>
    <t>DC 0-25V</t>
  </si>
  <si>
    <t>https://www.aliexpress.com/item/32874720049.html?af=465576&amp;utm_campaign=465576&amp;aff_platform=portals-tool&amp;utm_medium=cpa&amp;dp=9e7a0b943430ed6344cf826789cf7c68&amp;cv=47843&amp;pvid=c7c6ad6a-da3b-4e3f-9f04-24d00f055459&amp;mall_affr=pr3&amp;sk=_ePNSNV&amp;aff_trace_key=f31b261d23a54ba89b4dc81b0ae82d6e-1610198501238-05192-_ePNSNV&amp;rmsg=do_not_replacement&amp;scm=1007.23534.124000.0&amp;terminal_id=5129a28bcc5647e7b029e1bc972c0c1d&amp;utm_source=admitad&amp;utm_content=47843</t>
  </si>
  <si>
    <t xml:space="preserve">LM386 </t>
  </si>
  <si>
    <t>x200 Gain  5V-12V</t>
  </si>
  <si>
    <t>https://www.aliexpress.com/item/33002494308.html?cv=47843&amp;af=465576&amp;utm_campaign=465576&amp;aff_platform=portals-tool&amp;mall_affr=pr3&amp;utm_medium=cpa&amp;sk=_ePNSNV&amp;aff_trace_key=46aceab540dd41a6a4daf3aaefd997ee-1610198587367-08192-_ePNSNV&amp;dp=c049ecd8fa436ea484b311e5036bf380&amp;terminal_id=5129a28bcc5647e7b029e1bc972c0c1d&amp;utm_source=admitad&amp;utm_content=47843</t>
  </si>
  <si>
    <t>1 Channel    5V</t>
  </si>
  <si>
    <t>https://www.aliexpress.com/item/32878065864.html?af=465576&amp;utm_campaign=465576&amp;aff_platform=portals-tool&amp;utm_medium=cpa&amp;dp=cb0b40293ba915c02a2a8aa2a8819f75&amp;cv=47843&amp;pvid=707d8177-7673-4638-99d8-76b7de883fa5&amp;mall_affr=pr3&amp;sk=_ePNSNV&amp;aff_trace_key=02a705a8792a4488800acc86342fb7d3-1610198754939-04799-_ePNSNV&amp;rmsg=do_not_replacement&amp;scm=1007.23534.124000.0&amp;terminal_id=5129a28bcc5647e7b029e1bc972c0c1d&amp;utm_source=admitad&amp;utm_content=47843</t>
  </si>
  <si>
    <t>LM2596</t>
  </si>
  <si>
    <t>In 4.5V -53V    Out  3V -40V</t>
  </si>
  <si>
    <t>USB B to USB A</t>
  </si>
  <si>
    <t>KCD3-101N</t>
  </si>
  <si>
    <t>16A 250V 20A 125V 3 Pin 2 Position</t>
  </si>
  <si>
    <t>https://www.aliexpress.com/item/32964734700.html?cv=47843&amp;af=465576&amp;utm_campaign=465576&amp;aff_platform=portals-tool&amp;mall_affr=pr3&amp;utm_medium=cpa&amp;sk=_ePNSNV&amp;aff_trace_key=5ab1fdc62f3443b6a63abd3b64d48657-1610199008053-04926-_ePNSNV&amp;dp=3bfbf36fdffeca970c0dd9d2be642090&amp;terminal_id=5129a28bcc5647e7b029e1bc972c0c1d&amp;utm_source=admitad&amp;utm_content=47843</t>
  </si>
  <si>
    <t>Triaxial Compass</t>
  </si>
  <si>
    <t xml:space="preserve">Compass </t>
  </si>
  <si>
    <t>GY282</t>
  </si>
  <si>
    <t xml:space="preserve">ON/OFF DC Switch </t>
  </si>
  <si>
    <t xml:space="preserve">DC Step Down Regulator </t>
  </si>
  <si>
    <t xml:space="preserve">Amplifier Module </t>
  </si>
  <si>
    <t>30mm Fan</t>
  </si>
  <si>
    <t xml:space="preserve">Amp Sensor </t>
  </si>
  <si>
    <t>ACS712</t>
  </si>
  <si>
    <t>https://www.aliexpress.com/item/32817897264.html?af=465576&amp;utm_campaign=465576&amp;aff_platform=portals-tool&amp;utm_medium=cpa&amp;dp=e3a75b333ae60aceabaf79e3323ff879&amp;cv=47843&amp;pvid=b4e3cf5e-293f-4e33-803e-21363bc299c6&amp;mall_affr=pr3&amp;sk=_ePNSNV&amp;aff_trace_key=fb4aab0065a34ccb958b23548640d0e6-1610199127890-04130-_ePNSNV&amp;rmsg=do_not_replacement&amp;scm=1007.23534.124000.0&amp;terminal_id=5129a28bcc5647e7b029e1bc972c0c1d&amp;utm_source=admitad&amp;utm_content=47843</t>
  </si>
  <si>
    <t>3S 25A Li-ion 18650 BMS</t>
  </si>
  <si>
    <t>1A 125VAC Mouse Switch 3 Pins</t>
  </si>
  <si>
    <t>https://www.aliexpress.com/item/32712430715.html?af=465576&amp;utm_campaign=465576&amp;aff_platform=portals-tool&amp;utm_medium=cpa&amp;dp=2c2ae5ad6dc4c603275fb82f48f4ff39&amp;cv=47843&amp;pvid=df067a57-6f2b-42fd-a260-9412bbafc8d9&amp;mall_affr=pr3&amp;sk=_ePNSNV&amp;aff_trace_key=26c7ead4713548cbaac420421214e6fe-1610199223636-04402-_ePNSNV&amp;rmsg=do_not_replacement&amp;scm=1007.23534.124000.0&amp;terminal_id=5129a28bcc5647e7b029e1bc972c0c1d&amp;utm_source=admitad&amp;utm_content=47843</t>
  </si>
  <si>
    <t>DS1302</t>
  </si>
  <si>
    <t>CR2032</t>
  </si>
  <si>
    <t>https://www.aliexpress.com/item/32959006111.html?cv=47843&amp;af=465576&amp;utm_campaign=465576&amp;aff_platform=portals-tool&amp;mall_affr=pr3&amp;utm_medium=cpa&amp;sk=_ePNSNV&amp;aff_trace_key=da5e27e472a44ee88fa7bd305e0aa633-1610199276612-00596-_ePNSNV&amp;dp=9f371625c62d03d0d9254efd32095474&amp;terminal_id=5129a28bcc5647e7b029e1bc972c0c1d&amp;utm_source=admitad&amp;utm_content=47843</t>
  </si>
  <si>
    <t>Minimum 3 Required</t>
  </si>
  <si>
    <t>https://www.aliexpress.com/item/32348760733.html?af=465576&amp;utm_campaign=465576&amp;aff_platform=portals-tool&amp;utm_medium=cpa&amp;dp=eca71e19a5b89951aaf3c27ed2a436cd&amp;cv=47843&amp;pvid=52fa3314-f16f-4485-ad20-9c32ba439336&amp;mall_affr=pr3&amp;sk=_ePNSNV&amp;aff_trace_key=6e03b88a056b4f5da3cc3ee4f0389b3c-1610199343877-06661-_ePNSNV&amp;rmsg=do_not_replacement&amp;scm=1007.23534.124000.0&amp;terminal_id=5129a28bcc5647e7b029e1bc972c0c1d&amp;utm_source=admitad&amp;utm_content=47843</t>
  </si>
  <si>
    <t>5A/20A/30A</t>
  </si>
  <si>
    <t xml:space="preserve">Sonar Sensor </t>
  </si>
  <si>
    <t>HC-SR04</t>
  </si>
  <si>
    <t>Wheel Motor Drivers</t>
  </si>
  <si>
    <t>Mower Motor Driver</t>
  </si>
  <si>
    <t>https://www.aliexpress.com/item/32477198302.html?af=465576&amp;utm_campaign=465576&amp;aff_platform=portals-tool&amp;utm_medium=cpa&amp;dp=c0e39add5cf065fad821555cc6e08405&amp;cv=47843&amp;pvid=bad1c086-0224-4f15-b61e-f360f7ed73a9&amp;mall_affr=pr3&amp;sk=_ePNSNV&amp;aff_trace_key=a13494d4a46e4196b00317d03b578254-1610200606701-01223-_ePNSNV&amp;rmsg=do_not_replacement&amp;scm=1007.23534.124000.0&amp;terminal_id=470d6ec222324ffbad52bb9eff613be9&amp;utm_source=admitad&amp;utm_content=47843</t>
  </si>
  <si>
    <t>https://www.aliexpress.com/item/32341874990.html?af=465576&amp;utm_campaign=465576&amp;aff_platform=portals-tool&amp;utm_medium=cpa&amp;dp=94f2502f575d199a67164cc42f6b6be6&amp;cv=47843&amp;pvid=7e94d2ba-932f-4599-8578-5e8ba980c2de&amp;mall_affr=pr3&amp;sk=_ePNSNV&amp;aff_trace_key=8d5cca16d0f54ae98bc2c7db72754ed2-1610200627958-05106-_ePNSNV&amp;rmsg=do_not_replacement&amp;scm=1007.23534.124000.0&amp;terminal_id=470d6ec222324ffbad52bb9eff613be9&amp;utm_source=admitad&amp;utm_content=47843</t>
  </si>
  <si>
    <t>https://www.aliexpress.com/item/32215648796.html?af=465576&amp;utm_campaign=465576&amp;aff_platform=portals-tool&amp;utm_medium=cpa&amp;dp=e28e52b5f922947bd2773d9d65993ba1&amp;cv=47843&amp;pvid=08b25a28-93d5-48b3-9aa7-16ac5e847186&amp;mall_affr=pr3&amp;sk=_ePNSNV&amp;aff_trace_key=2b60e023fc11416090b467d270af95f7-1610200866886-06499-_ePNSNV&amp;rmsg=do_not_replacement&amp;scm=1007.23534.124000.0&amp;terminal_id=470d6ec222324ffbad52bb9eff613be9&amp;utm_source=admitad&amp;utm_content=47843</t>
  </si>
  <si>
    <t xml:space="preserve">BTS7960B </t>
  </si>
  <si>
    <t>43Amp</t>
  </si>
  <si>
    <t>30cm Wires</t>
  </si>
  <si>
    <t>M-M  &amp; M-F &amp;  F-F</t>
  </si>
  <si>
    <t>PCB Perimeter Transmitter</t>
  </si>
  <si>
    <t>https://repalmakershop.com/collections/3d-printed-lwan-mower-bundle/products/pcb-build-pack</t>
  </si>
  <si>
    <t>https://repalmakershop.com/collections/3d-printed-lwan-mower-bundle/products/perimeter-wire-transmitter-pcb</t>
  </si>
  <si>
    <t>50-100</t>
  </si>
  <si>
    <t>https://www.aliexpress.com/item/32867865319.html?af=465576&amp;utm_campaign=465576&amp;aff_platform=portals-tool&amp;utm_medium=cpa&amp;dp=7a594ff16f9c6c3f6d712a11d34eba42&amp;cv=47843&amp;pvid=643aba07-e95e-42fd-9624-3cf28f33c9c5&amp;mall_affr=pr3&amp;sk=_ePNSNV&amp;aff_trace_key=d93f69c117ad4ae4bf420e01724cae0f-1610201121259-08584-_ePNSNV&amp;rmsg=do_not_replacement&amp;scm=1007.23534.124000.0&amp;terminal_id=470d6ec222324ffbad52bb9eff613be9&amp;utm_source=admitad&amp;utm_content=47843</t>
  </si>
  <si>
    <t>M3 Nylon Locking Nuts</t>
  </si>
  <si>
    <t xml:space="preserve">M3 Bolts </t>
  </si>
  <si>
    <t>Socket Head Hex</t>
  </si>
  <si>
    <t>https://www.aliexpress.com/item/32966564111.html?af=465576&amp;utm_campaign=465576&amp;aff_platform=portals-tool&amp;utm_medium=cpa&amp;dp=fe3e52ef4afe5aa36fec5e2cd912983c&amp;cv=47843&amp;pvid=30ece110-b318-44ed-b56c-c528f3c69782&amp;mall_affr=pr3&amp;sk=_ePNSNV&amp;aff_trace_key=b3ab03124f414167a7e90689e9f3ff3f-1610201341206-05147-_ePNSNV&amp;rmsg=do_not_replacement&amp;scm=1007.23534.124000.0&amp;terminal_id=470d6ec222324ffbad52bb9eff613be9&amp;utm_source=admitad&amp;utm_content=47843</t>
  </si>
  <si>
    <t>Order Plug according to region</t>
  </si>
  <si>
    <t>3S 12.6V 5 Amp</t>
  </si>
  <si>
    <t>Charger</t>
  </si>
  <si>
    <t>Clock Battery</t>
  </si>
  <si>
    <t>Alu Adpaters (can be manufactured by yourself)</t>
  </si>
  <si>
    <t>Wheel Axle</t>
  </si>
  <si>
    <t>Mower Motor Adapter</t>
  </si>
  <si>
    <t>M6 Grub Screw</t>
  </si>
  <si>
    <t>2 Front Wheels / 2 Rear Wheels</t>
  </si>
  <si>
    <t>2 For Locking Font Wheels</t>
  </si>
  <si>
    <t>M5 Washer</t>
  </si>
  <si>
    <t>For Front wheels</t>
  </si>
  <si>
    <t>M6x10</t>
  </si>
  <si>
    <t>M3 x 30mm  Black</t>
  </si>
  <si>
    <t>M3 x 6mm  Black</t>
  </si>
  <si>
    <t>M3 Nuts</t>
  </si>
  <si>
    <t>M5 x 50mm</t>
  </si>
  <si>
    <t>M5 Bolts</t>
  </si>
  <si>
    <t>M3 Bolts</t>
  </si>
  <si>
    <t>M5 Nuts</t>
  </si>
  <si>
    <t>M3 Nylon Locking - Black</t>
  </si>
  <si>
    <t>M5 Nylon Locking - Black</t>
  </si>
  <si>
    <t>Mower PCB (Kits includes all electronics compnents)</t>
  </si>
  <si>
    <t>FPV Camera (Optional)</t>
  </si>
  <si>
    <t>ESP32 CAM</t>
  </si>
  <si>
    <t>OV2640</t>
  </si>
  <si>
    <t>FTDI Adapter</t>
  </si>
  <si>
    <t>1 Pair</t>
  </si>
  <si>
    <t>https://repalmakershop.com/collections/alu-parts/products/alu-rear-axle</t>
  </si>
  <si>
    <t>https://repalmakershop.com/collections/alu-parts/products/alu-mower-motor-adapter</t>
  </si>
  <si>
    <t>RTK GPS Module</t>
  </si>
  <si>
    <t>Ublox RTK Module</t>
  </si>
  <si>
    <t>C94-M8P-2-10</t>
  </si>
  <si>
    <t>ESP32 Board</t>
  </si>
  <si>
    <t>https://www.u-blox.com/en/product/c94-m8p</t>
  </si>
  <si>
    <t>https://www.aliexpress.com/item/1005001636295529.html?spm=a2g0o.productlist.0.0.6d682f6bOezilb&amp;algo_pvid=8f23d670-7958-4db3-bd03-95487a6e764a&amp;algo_expid=8f23d670-7958-4db3-bd03-95487a6e764a-1&amp;btsid=0b0a0ac216102110652348718e3a23&amp;ws_ab_test=searchweb0_0,searchweb201602_,searchweb201603_</t>
  </si>
  <si>
    <t>Espressif ESP32 WLAN Dev Kit V1 30P</t>
  </si>
  <si>
    <t>3.3V Logic Convertor</t>
  </si>
  <si>
    <t>https://www.aliexpress.com/item/32771873030.html?spm=a2g0o.productlist.0.0.1198731fL8dbSV&amp;algo_pvid=581bf272-69b4-447d-ac88-2604cd4bb0f3&amp;algo_expid=581bf272-69b4-447d-ac88-2604cd4bb0f3-5&amp;btsid=2100bde716102111720713328eb83f&amp;ws_ab_test=searchweb0_0,searchweb201602_,searchweb201603_</t>
  </si>
  <si>
    <t>11P Inductor</t>
  </si>
  <si>
    <t xml:space="preserve">Fastronic 11P 150mH </t>
  </si>
  <si>
    <t>https://repalmakershop.com/products/11p-150mh-inductor?_pos=1&amp;_sid=1f67f6d28&amp;_ss=r</t>
  </si>
  <si>
    <t>HL-01 / SW-520D</t>
  </si>
  <si>
    <t>HW-038 / T1592</t>
  </si>
  <si>
    <t>40mm  Fan</t>
  </si>
  <si>
    <t>Silicon Cable</t>
  </si>
  <si>
    <t>Battery Cable</t>
  </si>
  <si>
    <t>30cm</t>
  </si>
  <si>
    <t>12-14AWG</t>
  </si>
  <si>
    <t>EC5 Connector Pair</t>
  </si>
  <si>
    <t>1 Male and 1 Female</t>
  </si>
  <si>
    <t>Membrane Keypad</t>
  </si>
  <si>
    <t>LCD Screen</t>
  </si>
  <si>
    <t>1602 with i2C board</t>
  </si>
  <si>
    <t>https://www.aliexpress.com/item/1967124495.html?af=465576&amp;utm_campaign=465576&amp;aff_platform=portals-tool&amp;utm_medium=cpa&amp;dp=c8bb293c7cdc161c0fee4fdc919b5155&amp;cv=47843&amp;pvid=4d0d62ee-f13f-425b-9171-438a21db26ef&amp;mall_affr=pr3&amp;sk=_ePNSNV&amp;aff_trace_key=9a117bc0d6b44f8ea00f7c81e8198736-1610212450755-02393-_ePNSNV&amp;rmsg=do_not_replacement&amp;scm=1007.23534.124000.0&amp;terminal_id=5129a28bcc5647e7b029e1bc972c0c1d&amp;utm_source=admitad&amp;utm_content=47843</t>
  </si>
  <si>
    <t>https://www.aliexpress.com/item/32462149418.html?af=465576&amp;utm_campaign=465576&amp;aff_platform=portals-tool&amp;utm_medium=cpa&amp;dp=656da2d75ddcb054a33d32a243e7b678&amp;cv=47843&amp;pvid=66538326-55dd-464c-b23e-b3570117c943&amp;mall_affr=pr3&amp;sk=_ePNSNV&amp;aff_trace_key=b062543313754279a17500dce34cce22-1610212478677-03409-_ePNSNV&amp;rmsg=do_not_replacement&amp;scm=1007.23534.124000.0&amp;terminal_id=5129a28bcc5647e7b029e1bc972c0c1d&amp;utm_source=admitad&amp;utm_content=47843</t>
  </si>
  <si>
    <t>1x4 Keypad</t>
  </si>
  <si>
    <t>69x20mm</t>
  </si>
  <si>
    <t>Wire Roll Boxes</t>
  </si>
  <si>
    <t>https://www.aliexpress.com/item/32872439317.html?cv=47843&amp;af=465576&amp;utm_campaign=465576&amp;aff_platform=api-new-hotproduct-download&amp;mall_affr=pr3&amp;utm_medium=cpa&amp;aff_trace_key=03610de63769415592472be9164364a9-1610212584888-08645&amp;dp=b4ab68d5f07af9aa1891c952b153b7f3&amp;terminal_id=5129a28bcc5647e7b029e1bc972c0c1d&amp;tmLog=new_Detail&amp;utm_source=admitad&amp;utm_content=47843</t>
  </si>
  <si>
    <t>Perimeter Wire Pegs</t>
  </si>
  <si>
    <t>https://www.aliexpress.com/item/32683014332.html?cv=47843&amp;af=465576&amp;utm_campaign=465576&amp;aff_platform=portals-tool&amp;mall_affr=pr3&amp;utm_medium=cpa&amp;sk=_ePNSNV&amp;aff_trace_key=f99770f2a41e40b680de770372b822a9-1610212643714-06026-_ePNSNV&amp;dp=3bf2cb02f728d1ece206aba652325263&amp;terminal_id=5129a28bcc5647e7b029e1bc972c0c1d&amp;utm_source=admitad&amp;utm_content=47843</t>
  </si>
  <si>
    <t>Perimeter Wire</t>
  </si>
  <si>
    <t>https://www.aliexpress.com/item/561395251.html?cv=47843&amp;af=465576&amp;utm_campaign=465576&amp;aff_platform=portals-tool&amp;mall_affr=pr3&amp;utm_medium=cpa&amp;sk=_ePNSNV&amp;aff_trace_key=bd9ed898f2e34b9bb459075c00220735-1610212690876-09246-_ePNSNV&amp;dp=aab20e275fe66492eaf1bd2fef52e2a9&amp;terminal_id=5129a28bcc5647e7b029e1bc972c0c1d&amp;utm_source=admitad&amp;utm_content=47843</t>
  </si>
  <si>
    <t>Components</t>
  </si>
  <si>
    <t>LiIon Batteries</t>
  </si>
  <si>
    <t>18650B Panasonic</t>
  </si>
  <si>
    <t>https://www.ebay.de/itm/4-x-Panasonic-NCR18650B-Li-Ionen-Akku-3-7V-3400mAh-ohne-Schutzelektronik-lose/293182525634?epid=12011372732&amp;_trkparms=ispr%3D1&amp;hash=item44430a50c2:g:Oq0AAOSwZ~pd0o~0&amp;amdata=enc%3AAQAFAAACcBaobrjLl8XobRIiIML1V4Imu%252Fn%252BzU5L90Z278x5ickkvjzWOStkxwnlDuxSI1PVVoyYDjaGxHzQKV1wpB1ciP9rWZaSTyFBbF6xIEcXlO35qiHpOyCCpJ6ADN0JEayd7sPXtLxF67fSR2WhP3C6Km4mwO7WBWJQeN%252FQtH7bTF60nj3aKKLLVuV9i1vG3adrf5K8K7G7Pl9DUIfp1n8QMai4RPR%252FIIv6ozgX3L6QT1cw7PFbLJgh7oL77Xagi55J1Bn5ATHzt58K0%252BryMcffaLsKiXisn7oOQRSJUUvvDLQSGqI3z2KYtiBx4itArPcjofZhtHyvZ1FG8uBPeLnSZOtxFBXRMRbILoq%252BKB91hjdZHVquiKr6%252B%252B%252BFJZI%252FoG7RF7YMZwtl9X4eMzqnQgeVtbmJdHV4cV1IAuQe%252Fbs0%252FQXDsKFrx8TW%252FQxfwdXifMPBhkzqfWeVbPw0E43cuReSKcsqrWP%252FCBfqWQL9AesM1I4rzbTxu6%252BI1gzO0tvlYabuGO6pzp1lycdQx%252BOmhMR6GfGrwNKO5x2EcUXAq5DsSJ4Zc5pnmoP9V3vSeNQq7WxsUmCWZKgp5VdL0bqbOYlt8712Xh7epqcte6XGcgW7lxWh3yTbcsCrTk2GWOefnfrHh2UCU1rdfvFog%252Fy4Syk6%252BW87BS424SwnJmRNGM5wmI8zKYEozxS9GjtG7C0ecHbJ5OZ9eBAmv25MQwXW0zm2%252FRj7lrfcmVEeRaOqjxBdNHYu34bO9FZyrU%252F7gGNwiHt8wOQ3%252BOkdpZNtUJI1SUQPKJLqvCMDLlLMN07X0qN5hEuCok6vf1TFABCa05twzSSGAQ%253D%253D%7Ccksum%3A293182525634406028e9316045feb371d9dcd9f3fb95%7Campid%3APL_CLK%7Cclp%3A2334524</t>
  </si>
  <si>
    <t>18-20AWG</t>
  </si>
  <si>
    <t>for connecting components securley</t>
  </si>
  <si>
    <t>https://www.ebay.de/itm/Varta-CR2025-CR2032-2016-Knopfzellen-Industrie-Ware-MHD-2028-Batterie-Knopfzelle/224268327425?_trkparms=ispr%3D1&amp;hash=item34376f1a01:g:5-oAAOSw00Vf6Cy8&amp;amdata=enc%3AAQAFAAACcBaobrjLl8XobRIiIML1V4Imu%252Fn%252BzU5L90Z278x5ickkgCVySCgrNFPU8Iu85TabMAWxWcxZO5yYGa8lBlsQpsUy0F7yrGFC6hP9kusd9DDE6ieYVDZ1xB0KuKt47eH2tTr%252FsS2yJwDE0nvFp9QcoQ4QuKXuYF9heS1st%252B8gJoI2MEF%252BES5RS0zXvasdy8b%252Bq%252FQ93xmrUNFG%252FXDIWZ2TYvQ602M%252FYhm7YAfqCJFo4xmJYsYtltXLm7x%252B4NvNFR645%252B1iXXIF1WIk8L7yYaCqCssrm0Lu8pGJHbG9E%252FN4vB53T33IQ%252FBYNAxpgSQ3MJepR%252F8O%252B27TQ3vHOfZwM6i9QzcRHrq0hdV%252BgHj%252BbxLvNq9a2%252BbxG5y1ctE9HGWYQyavrgAII%252BZJmiFs9Z29ZgqpXlazB191gjfGu0TE4VN5qMG451o7NOoztiYRFpxm7dHza2T2rErAmoEt%252Bcc5ebHIj6zeAOs4lgkiUtQaDKHRR8drEbfp5INUH4cwscrAmVuk%252FuQuxRNEfpRIYdb2Jt%252Ba4pRZ7DorNVKn3l%252B%252B%252BljpD%252B0YYrWX5tkj5R3EunXzhKrT%252FzTVP4pb0k8cEMye%252BwluAaAWcuJDTCsgBq4zQCyu9ie3LegvGs8nBsutmLnOZE1oC1xaDbDs9wQXpEimSivaxK1lYYEkFWiAUx0SpBHPzIcPutaxWneb4WGbEpJf%252FoJMtcchPzcHTljPXpFmtgpFT9OEWlB%252B1E92HmSw%252F5yDdXRYLaQsiR%252B4ZCpzztktYihcJ7u4tCF6zEDUz8QeD7VbzjUb%252FtZRmVMUqk0RMI6yiU8sftdoOjIy7Jp2z7K8Qf4a8A%253D%253D%7Ccksum%3A224268327425fab8c26451c5404b9b2cea118efe11b5%7Campid%3APL_CLK%7Cclp%3A2334524</t>
  </si>
  <si>
    <t>20cm - Provided with MEGA</t>
  </si>
  <si>
    <t>Mower Blade Motor</t>
  </si>
  <si>
    <t xml:space="preserve">Standard Wheel motors </t>
  </si>
  <si>
    <t xml:space="preserve">Power Motors </t>
  </si>
  <si>
    <t>Planetary Gear Motor</t>
  </si>
  <si>
    <t>Wire Transmitter Components (not required if orerding PCB Build Pack)</t>
  </si>
  <si>
    <t>None PCB Mower Build Version (not required if ordering PCB Build Pack)</t>
  </si>
  <si>
    <t>Arduino UNO</t>
  </si>
  <si>
    <t>Wire Tansmitter Bridge</t>
  </si>
  <si>
    <t>https://www.aliexpress.com/item/32556087234.html?af=465576&amp;utm_campaign=465576&amp;aff_platform=portals-tool&amp;utm_medium=cpa&amp;dp=644cf8aafe642b25fb631478c4182d4d&amp;cv=47843&amp;pvid=f6013a11-8e56-4d18-bf5c-36e9ecc3398e&amp;mall_affr=pr3&amp;sk=_ePNSNV&amp;aff_trace_key=1bf2984076384009841259d1fb5a295f-1610213837445-00181-_ePNSNV&amp;rmsg=do_not_replacement&amp;scm=1007.23534.124000.0&amp;terminal_id=5129a28bcc5647e7b029e1bc972c0c1d&amp;utm_source=admitad&amp;utm_content=47843</t>
  </si>
  <si>
    <t>30x30x7mm   12V DC  2 Pin</t>
  </si>
  <si>
    <t>40x40x10mm   12V DC 2Pin</t>
  </si>
  <si>
    <t>220
Monster</t>
  </si>
  <si>
    <t>330
Monster</t>
  </si>
  <si>
    <t>LAM
Monster</t>
  </si>
  <si>
    <t>Little 
Monster</t>
  </si>
  <si>
    <t>Required to build the mower</t>
  </si>
  <si>
    <t>Depends on options chosen</t>
  </si>
  <si>
    <t>Optional Parts</t>
  </si>
  <si>
    <t>Recommended Parts</t>
  </si>
  <si>
    <t>ReP_AL Mower BOM</t>
  </si>
  <si>
    <r>
      <t xml:space="preserve">Rear Wheel Motor </t>
    </r>
    <r>
      <rPr>
        <b/>
        <sz val="11"/>
        <color theme="0"/>
        <rFont val="Calibri"/>
        <family val="2"/>
        <scheme val="minor"/>
      </rPr>
      <t>Options</t>
    </r>
  </si>
  <si>
    <t>Older Models (Archive) - Not required for Monster Versions</t>
  </si>
  <si>
    <t>https://de.aliexpress.com/item/32340914033.html?dp=f7a7b51c3539b805218bfcf72836119a&amp;dp=f7a7b51c3539b805218bfcf72836119a&amp;af=465576&amp;af=465576&amp;cv=47843&amp;cv=47843&amp;afref=&amp;afref=&amp;mall_affr=pr3&amp;mall_affr=pr3&amp;utm_source=admitad&amp;utm_source=admitad&amp;utm_medium=cpa&amp;utm_medium=cpa&amp;utm_campaign=465576&amp;utm_campaign=465576&amp;utm_content=47843&amp;utm_content=47843&amp;aff_fcid=b5f4480047ac4673bc4a081867bc7275-1635194844488-01373-_ePNSNV&amp;aff_fsk=_ePNSNV&amp;aff_platform=portals-tool&amp;sk=_ePNSNV&amp;aff_trace_key=b5f4480047ac4673bc4a081867bc7275-1635194844488-01373-_ePNSNV&amp;terminal_id=b55c7d14397e49f88f10b2dd656f05fc</t>
  </si>
  <si>
    <t>https://de.aliexpress.com/item/32908913647.html?spm=a2g0o.productlist.0.0.4c0c6887zn2BNM&amp;algo_pvid=bee52318-43ef-412e-99dc-572e5ed97515&amp;algo_exp_id=bee52318-43ef-412e-99dc-572e5ed97515-12&amp;pdp_ext_f=%7B%22sku_id%22%3A%2265863783628%22%7D</t>
  </si>
  <si>
    <t>https://de.aliexpress.com/item/1005001928029759.html?aff_fcid=51cc9084d15345b78193db85f86aeed9-1635593237443-01471-_2a2fZ5z&amp;aff_fsk=_2a2fZ5z&amp;aff_platform=api-new-link-generate&amp;sk=_2a2fZ5z&amp;aff_trace_key=51cc9084d15345b78193db85f86aeed9-1635593237443-01471-_2a2fZ5z&amp;terminal_id=b55c7d14397e49f88f10b2dd656f05fc</t>
  </si>
  <si>
    <t>https://de.aliexpress.com/item/1005001876017064.html?spm=a2g0o.productlist.main.21.18c6c815rviH6S&amp;algo_pvid=528c814b-898a-4e35-9178-9a7a6e7442c3&amp;algo_exp_id=528c814b-898a-4e35-9178-9a7a6e7442c3-10&amp;pdp_ext_f=%7B%22sku_id%22%3A%2212000017989482396%22%7D&amp;pdp_npi=2%40dis%21EUR%2129.78%2117.87%21%21%21%21%21%40211bd93f16756707554942492d0717%2112000017989482396%21sea&amp;curPageLogUid=MGJmVXWSHzyY</t>
  </si>
  <si>
    <r>
      <t xml:space="preserve">Typical Price 
</t>
    </r>
    <r>
      <rPr>
        <sz val="14"/>
        <color rgb="FFFF0000"/>
        <rFont val="Calibri"/>
        <family val="2"/>
        <scheme val="minor"/>
      </rPr>
      <t>with Shipping</t>
    </r>
  </si>
  <si>
    <t>https://de.aliexpress.com/item/32341832857.html?spm=a2g0o.store_pc_allProduct.8148356.1.1d9c72d6FNwS99&amp;pdp_npi=2%40dis%21EUR%21%E2%82%AC%202%2C70%21%E2%82%AC%202%2C45%21%21%21%21%21%402101f49e16756711520838863e13d5%2166603245639%21sh</t>
  </si>
  <si>
    <t>https://de.aliexpress.com/item/1005001287283298.html?spm=a2g0o.productlist.main.29.58b43e14fMncxM&amp;algo_pvid=975a621a-6b1b-4bfd-a042-0bd7a9db81e1&amp;algo_exp_id=975a621a-6b1b-4bfd-a042-0bd7a9db81e1-14&amp;pdp_ext_f=%7B%22sku_id%22%3A%2212000015580372803%22%7D&amp;pdp_npi=2%40dis%21EUR%210.3%210.28%21%21%21%21%21%40211bf48d16756713511757673d06b6%2112000015580372803%21sea&amp;curPageLogUid=MlEgHGq2f9Tl</t>
  </si>
  <si>
    <t>https://de.aliexpress.com/item/1005004090772903.html?spm=a2g0o.productlist.main.23.6b981e56ZGAtYP&amp;algo_pvid=9425ddd3-8117-4389-a64e-107cec62b640&amp;algo_exp_id=9425ddd3-8117-4389-a64e-107cec62b640-11&amp;pdp_ext_f=%7B%22sku_id%22%3A%2212000028000420511%22%7D&amp;pdp_npi=2%40dis%21EUR%211.0%210.8%21%21%21%21%21%402102169316756717565988696d06ed%2112000028000420511%21sea&amp;curPageLogUid=bm9I1aEacbp5</t>
  </si>
  <si>
    <t>https://de.aliexpress.com/item/10000002013575.html?spm=a2g0o.productlist.main.19.5ed02f4bRgb882&amp;algo_pvid=02611ed5-54f3-4d1f-b711-62094e4ac68f&amp;algo_exp_id=02611ed5-54f3-4d1f-b711-62094e4ac68f-9&amp;pdp_ext_f=%7B%22sku_id%22%3A%2220000000005864123%22%7D&amp;pdp_npi=2%40dis%21EUR%212.18%211.53%21%21%21%21%21%40210217c716756718816368839d06bc%2120000000005864123%21sea&amp;curPageLogUid=iO1umRWBu3hH</t>
  </si>
  <si>
    <t>each</t>
  </si>
  <si>
    <t>https://de.aliexpress.com/item/1005002613832303.html?spm=a2g0o.productlist.main.1.2f4a38ccuMcnvA&amp;algo_pvid=4eea373b-a508-47c3-b962-1e2d3a8b9c94&amp;aem_p4p_detail=202302060027124606540623084840000440231&amp;algo_exp_id=4eea373b-a508-47c3-b962-1e2d3a8b9c94-0&amp;pdp_ext_f=%7B%22sku_id%22%3A%2212000021429843605%22%7D&amp;pdp_npi=2%40dis%21EUR%2112.08%214.05%21%21%21%21%21%402100b18f16756720322866286d070b%2112000021429843605%21sea&amp;curPageLogUid=wg5a3rnU9Ykm&amp;ad_pvid=202302060027124606540623084840000440231_1&amp;ad_pvid=202302060027124606540623084840000440231_1</t>
  </si>
  <si>
    <t>https://de.aliexpress.com/item/32484040246.html?spm=a2g0o.productlist.main.1.ae854632LKFzX8&amp;algo_pvid=6b7b30a4-84e9-45e5-adf5-72e811465eac&amp;aem_p4p_detail=202302060027583717108438030000000437127&amp;algo_exp_id=6b7b30a4-84e9-45e5-adf5-72e811465eac-0&amp;pdp_ext_f=%7B%22sku_id%22%3A%2210000006782105056%22%7D&amp;pdp_npi=2%40dis%21EUR%211.77%210.09%21%21%21%21%21%402145288516756720787835813d0761%2110000006782105056%21sea&amp;curPageLogUid=bK3JvQFx8Mm6&amp;ad_pvid=202302060027583717108438030000000437127_1&amp;ad_pvid=202302060027583717108438030000000437127_1</t>
  </si>
  <si>
    <t>Total Price</t>
  </si>
  <si>
    <t>.</t>
  </si>
  <si>
    <t>https://de.aliexpress.com/item/1005002357962115.html?spm=a2g0o.productlist.main.7.56c05bbaxufMJB&amp;algo_pvid=054a80ec-2bba-45ba-98ba-8c7142172634&amp;aem_p4p_detail=202302060046164941164128176000000495200&amp;algo_exp_id=054a80ec-2bba-45ba-98ba-8c7142172634-3&amp;pdp_ext_f=%7B%22sku_id%22%3A%2212000020286938090%22%7D&amp;pdp_npi=2%40dis%21EUR%212.66%210.09%21%21%21%21%21%402100b18f16756731762857982d070b%2112000020286938090%21sea&amp;curPageLogUid=b51AueqxXBMZ&amp;ad_pvid=202302060046164941164128176000000495200_4&amp;ad_pvid=202302060046164941164128176000000495200_4</t>
  </si>
  <si>
    <t>https://de.aliexpress.com/item/1005002320975566.html?spm=a2g0o.store_pc_allProduct.0.0.6a2f55adhyGJOA&amp;pdp_ext_f=%7B%22sku_id%22%3A%2212000020086896796%22%2C%22ship_from%22%3A%22CN%22%7D&amp;gps-id=pcStoreJustForYou&amp;scm=1007.23125.137358.0&amp;scm_id=1007.23125.137358.0&amp;scm-url=1007.23125.137358.0&amp;pvid=e81cb63a-6e9e-4304-ab47-e62a8ee566fe&amp;gatewayAdapt=glo2deu</t>
  </si>
  <si>
    <t>https://de.aliexpress.com/item/1005002375633274.html?gps-id=pcStoreJustForYou&amp;scm=1007.23125.137358.0&amp;scm_id=1007.23125.137358.0&amp;scm-url=1007.23125.137358.0&amp;pvid=946f59d0-847c-444f-92f8-93cf86ed02ba&amp;_t=gps-id%3ApcStoreJustForYou%2Cscm-url%3A1007.23125.137358.0%2Cpvid%3A946f59d0-847c-444f-92f8-93cf86ed02ba%2Ctpp_buckets%3A668%232846%238113%231998&amp;pdp_ext_f=%7B%22sku_id%22%3A%2212000020413037929%22%2C%22sceneId%22%3A%2213125%22%7D&amp;pdp_npi=2%40dis%21EUR%212.8%210.1%21%21%21%21%21%40211b801716756734201134564e766f%2112000020413037929%21rec&amp;spm=a2g0o.store_pc_home.smartJustForYou_6000666932037.3&amp;gatewayAdapt=glo2deu</t>
  </si>
  <si>
    <t>local hardware store</t>
  </si>
  <si>
    <t>Alu Round Bar</t>
  </si>
  <si>
    <t>Fasteners (Not Required if ordering Alu Parts)</t>
  </si>
  <si>
    <t>(9 in pack)</t>
  </si>
  <si>
    <t>Option 1 includes all arduino components</t>
  </si>
  <si>
    <t>6mm Round Stock</t>
  </si>
  <si>
    <t>30mm round stock</t>
  </si>
  <si>
    <t>Makes easy wiring and assembly of aruino components</t>
  </si>
  <si>
    <t>https://de.aliexpress.com/item/32992442253.html?spm=a2g0o.productlist.main.15.521921a10Iuvzm&amp;algo_pvid=7a5c6ed5-158c-4ff1-9052-57721456e0ba&amp;aem_p4p_detail=20230206011350686239335822810000558261&amp;algo_exp_id=7a5c6ed5-158c-4ff1-9052-57721456e0ba-7&amp;pdp_ext_f=%7B%22sku_id%22%3A%2212000025199342771%22%7D&amp;pdp_npi=2%40dis%21EUR%215.49%214.72%21%21%21%21%21%402100bb6416756748303354535d073e%2112000025199342771%21sea&amp;curPageLogUid=tdrr6gsAcykp&amp;ad_pvid=20230206011350686239335822810000558261_8&amp;ad_pvid=20230206011350686239335822810000558261_8</t>
  </si>
  <si>
    <t>https://de.aliexpress.com/item/1005001666081522.html?spm=a2g0o.productlist.main.3.6a476141q2G2vz&amp;algo_pvid=c1ddb13f-e768-414d-830c-5a32b4c30cf4&amp;aem_p4p_detail=2023020601154714117965593230520000544289&amp;algo_exp_id=c1ddb13f-e768-414d-830c-5a32b4c30cf4-1&amp;pdp_ext_f=%7B%22sku_id%22%3A%2212000017042968434%22%7D&amp;pdp_npi=2%40dis%21EUR%212.51%212.51%21%21%21%21%21%40214527c616756749477752436d0702%2112000017042968434%21sea&amp;curPageLogUid=3Bf6TMzpzEaF&amp;ad_pvid=2023020601154714117965593230520000544289_2&amp;ad_pvid=2023020601154714117965593230520000544289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</si>
</sst>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€-2]\ * #,##0.00_-;\-[$€-2]\ * #,##0.00_-;_-[$€-2]\ 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0"/>
      <name val="Calibri"/>
      <family val="2"/>
      <scheme val="minor"/>
    </font>
    <font>
      <u/>
      <sz val="11"/>
      <color theme="0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4"/>
      <color indexed="81"/>
      <name val="Segoe UI"/>
      <family val="2"/>
    </font>
    <font>
      <b/>
      <sz val="16"/>
      <color indexed="81"/>
      <name val="Segoe UI"/>
      <family val="2"/>
    </font>
    <font>
      <sz val="16"/>
      <color indexed="81"/>
      <name val="Segoe UI"/>
      <family val="2"/>
    </font>
    <font>
      <sz val="16"/>
      <color theme="0"/>
      <name val="Calibri"/>
      <family val="2"/>
      <scheme val="minor"/>
    </font>
    <font>
      <b/>
      <sz val="26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4"/>
      <name val="Calibri"/>
      <family val="2"/>
      <scheme val="minor"/>
    </font>
    <font>
      <u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29292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 tint="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3">
    <xf numFmtId="0" fontId="0" fillId="0" borderId="0" xfId="0"/>
    <xf numFmtId="0" fontId="1" fillId="3" borderId="0" xfId="0" applyFont="1" applyFill="1"/>
    <xf numFmtId="0" fontId="1" fillId="3" borderId="0" xfId="0" applyFont="1" applyFill="1" applyAlignment="1">
      <alignment horizontal="left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0" borderId="0" xfId="0" applyFont="1" applyAlignment="1">
      <alignment vertical="center"/>
    </xf>
    <xf numFmtId="0" fontId="0" fillId="3" borderId="0" xfId="0" applyFill="1"/>
    <xf numFmtId="0" fontId="3" fillId="3" borderId="0" xfId="0" applyFont="1" applyFill="1" applyAlignment="1">
      <alignment vertical="center"/>
    </xf>
    <xf numFmtId="0" fontId="1" fillId="0" borderId="0" xfId="0" applyFont="1" applyAlignment="1">
      <alignment horizontal="left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4" fillId="3" borderId="0" xfId="1" applyFont="1" applyFill="1" applyAlignment="1">
      <alignment horizontal="left" vertical="center"/>
    </xf>
    <xf numFmtId="0" fontId="1" fillId="4" borderId="1" xfId="0" applyFont="1" applyFill="1" applyBorder="1" applyAlignment="1">
      <alignment vertical="center"/>
    </xf>
    <xf numFmtId="0" fontId="1" fillId="4" borderId="0" xfId="0" applyFont="1" applyFill="1" applyAlignment="1">
      <alignment horizontal="center" vertical="center"/>
    </xf>
    <xf numFmtId="0" fontId="4" fillId="4" borderId="0" xfId="1" applyFont="1" applyFill="1" applyAlignment="1">
      <alignment horizontal="left" vertical="center"/>
    </xf>
    <xf numFmtId="0" fontId="0" fillId="4" borderId="0" xfId="0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2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1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0" fillId="5" borderId="0" xfId="0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6" borderId="0" xfId="0" applyFont="1" applyFill="1" applyAlignment="1">
      <alignment horizontal="left" vertical="center"/>
    </xf>
    <xf numFmtId="0" fontId="0" fillId="6" borderId="0" xfId="0" applyFill="1" applyAlignment="1">
      <alignment vertical="center"/>
    </xf>
    <xf numFmtId="0" fontId="11" fillId="3" borderId="0" xfId="0" applyFont="1" applyFill="1"/>
    <xf numFmtId="0" fontId="0" fillId="7" borderId="0" xfId="0" applyFill="1"/>
    <xf numFmtId="0" fontId="1" fillId="7" borderId="0" xfId="0" applyFont="1" applyFill="1" applyAlignment="1">
      <alignment vertical="center"/>
    </xf>
    <xf numFmtId="0" fontId="1" fillId="7" borderId="0" xfId="0" applyFont="1" applyFill="1" applyAlignment="1">
      <alignment horizontal="left" vertical="center"/>
    </xf>
    <xf numFmtId="0" fontId="0" fillId="7" borderId="0" xfId="0" applyFill="1" applyAlignment="1">
      <alignment vertical="center"/>
    </xf>
    <xf numFmtId="0" fontId="2" fillId="3" borderId="0" xfId="1" applyFill="1" applyAlignment="1">
      <alignment horizontal="left" vertical="center"/>
    </xf>
    <xf numFmtId="0" fontId="2" fillId="4" borderId="0" xfId="1" applyFill="1" applyAlignment="1">
      <alignment horizontal="left" vertical="center"/>
    </xf>
    <xf numFmtId="0" fontId="10" fillId="2" borderId="0" xfId="0" applyFont="1" applyFill="1" applyAlignment="1">
      <alignment horizontal="center"/>
    </xf>
    <xf numFmtId="164" fontId="1" fillId="3" borderId="0" xfId="0" applyNumberFormat="1" applyFont="1" applyFill="1" applyAlignment="1">
      <alignment horizontal="center" vertical="center"/>
    </xf>
    <xf numFmtId="164" fontId="1" fillId="4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vertical="center"/>
    </xf>
    <xf numFmtId="164" fontId="1" fillId="7" borderId="0" xfId="0" applyNumberFormat="1" applyFont="1" applyFill="1" applyAlignment="1">
      <alignment vertical="center"/>
    </xf>
    <xf numFmtId="164" fontId="1" fillId="6" borderId="0" xfId="0" applyNumberFormat="1" applyFont="1" applyFill="1" applyAlignment="1">
      <alignment vertical="center"/>
    </xf>
    <xf numFmtId="164" fontId="1" fillId="5" borderId="0" xfId="0" applyNumberFormat="1" applyFont="1" applyFill="1" applyAlignment="1">
      <alignment vertical="center"/>
    </xf>
    <xf numFmtId="164" fontId="0" fillId="3" borderId="0" xfId="0" applyNumberFormat="1" applyFill="1" applyAlignment="1">
      <alignment vertical="center"/>
    </xf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164" fontId="1" fillId="3" borderId="0" xfId="1" applyNumberFormat="1" applyFont="1" applyFill="1" applyAlignment="1">
      <alignment horizontal="center" vertical="center"/>
    </xf>
    <xf numFmtId="0" fontId="1" fillId="3" borderId="0" xfId="1" applyNumberFormat="1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16" fillId="3" borderId="0" xfId="0" applyFont="1" applyFill="1" applyAlignment="1">
      <alignment horizontal="left"/>
    </xf>
    <xf numFmtId="0" fontId="17" fillId="3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18" fillId="3" borderId="0" xfId="1" applyFont="1" applyFill="1" applyAlignment="1">
      <alignment horizontal="left" vertical="center"/>
    </xf>
    <xf numFmtId="0" fontId="18" fillId="4" borderId="0" xfId="1" applyFont="1" applyFill="1" applyAlignment="1">
      <alignment horizontal="left" vertical="center"/>
    </xf>
    <xf numFmtId="0" fontId="16" fillId="7" borderId="0" xfId="0" applyFont="1" applyFill="1" applyAlignment="1">
      <alignment horizontal="left" vertical="center"/>
    </xf>
    <xf numFmtId="0" fontId="16" fillId="6" borderId="0" xfId="0" applyFont="1" applyFill="1" applyAlignment="1">
      <alignment horizontal="left" vertical="center"/>
    </xf>
    <xf numFmtId="0" fontId="16" fillId="5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0" fontId="16" fillId="0" borderId="0" xfId="0" applyFont="1" applyAlignment="1">
      <alignment horizontal="left"/>
    </xf>
    <xf numFmtId="164" fontId="1" fillId="8" borderId="0" xfId="1" applyNumberFormat="1" applyFont="1" applyFill="1" applyAlignment="1">
      <alignment horizontal="center" vertical="center"/>
    </xf>
    <xf numFmtId="0" fontId="1" fillId="8" borderId="0" xfId="1" applyNumberFormat="1" applyFont="1" applyFill="1" applyAlignment="1">
      <alignment horizontal="center" vertical="center"/>
    </xf>
    <xf numFmtId="0" fontId="4" fillId="8" borderId="0" xfId="1" applyFont="1" applyFill="1" applyAlignment="1">
      <alignment horizontal="left" vertical="center"/>
    </xf>
    <xf numFmtId="164" fontId="12" fillId="2" borderId="0" xfId="0" applyNumberFormat="1" applyFont="1" applyFill="1" applyAlignment="1">
      <alignment horizontal="left" vertical="center"/>
    </xf>
    <xf numFmtId="164" fontId="12" fillId="3" borderId="0" xfId="1" applyNumberFormat="1" applyFont="1" applyFill="1" applyAlignment="1">
      <alignment horizontal="center" vertical="center"/>
    </xf>
    <xf numFmtId="164" fontId="12" fillId="7" borderId="0" xfId="0" applyNumberFormat="1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left"/>
    </xf>
    <xf numFmtId="0" fontId="1" fillId="8" borderId="0" xfId="0" applyFont="1" applyFill="1" applyAlignment="1">
      <alignment horizontal="center" vertical="center"/>
    </xf>
    <xf numFmtId="0" fontId="1" fillId="3" borderId="0" xfId="0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29292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aliexpress.com/item/32884941176.html?af=465576&amp;utm_campaign=465576&amp;aff_platform=portals-tool&amp;utm_medium=cpa&amp;dp=0b6ae5fb2be685f7a9d4402a3f95ca3e&amp;cv=47843&amp;pvid=b2d3f4c1-868d-4cfd-a965-d5c5bf9fc94f&amp;mall_affr=pr3&amp;sk=_ePNSNV&amp;aff_trace_key=abc2f4c9861244eba79cd505e7b98750-1610198440095-08539-_ePNSNV&amp;rmsg=do_not_replacement&amp;scm=1007.23534.124000.0&amp;terminal_id=5129a28bcc5647e7b029e1bc972c0c1d&amp;utm_source=admitad&amp;utm_content=47843" TargetMode="External"/><Relationship Id="rId18" Type="http://schemas.openxmlformats.org/officeDocument/2006/relationships/hyperlink" Target="https://www.aliexpress.com/item/32817897264.html?af=465576&amp;utm_campaign=465576&amp;aff_platform=portals-tool&amp;utm_medium=cpa&amp;dp=e3a75b333ae60aceabaf79e3323ff879&amp;cv=47843&amp;pvid=b4e3cf5e-293f-4e33-803e-21363bc299c6&amp;mall_affr=pr3&amp;sk=_ePNSNV&amp;aff_trace_key=fb4aab0065a34ccb958b23548640d0e6-1610199127890-04130-_ePNSNV&amp;rmsg=do_not_replacement&amp;scm=1007.23534.124000.0&amp;terminal_id=5129a28bcc5647e7b029e1bc972c0c1d&amp;utm_source=admitad&amp;utm_content=47843" TargetMode="External"/><Relationship Id="rId26" Type="http://schemas.openxmlformats.org/officeDocument/2006/relationships/hyperlink" Target="https://repalmakershop.com/collections/3d-printed-lwan-mower-bundle/products/perimeter-wire-transmitter-pcb" TargetMode="External"/><Relationship Id="rId39" Type="http://schemas.openxmlformats.org/officeDocument/2006/relationships/hyperlink" Target="https://www.aliexpress.com/item/32878065864.html?af=465576&amp;utm_campaign=465576&amp;aff_platform=portals-tool&amp;utm_medium=cpa&amp;dp=cb0b40293ba915c02a2a8aa2a8819f75&amp;cv=47843&amp;pvid=707d8177-7673-4638-99d8-76b7de883fa5&amp;mall_affr=pr3&amp;sk=_ePNSNV&amp;aff_trace_key=02a705a8792a4488800acc86342fb7d3-1610198754939-04799-_ePNSNV&amp;rmsg=do_not_replacement&amp;scm=1007.23534.124000.0&amp;terminal_id=5129a28bcc5647e7b029e1bc972c0c1d&amp;utm_source=admitad&amp;utm_content=47843" TargetMode="External"/><Relationship Id="rId21" Type="http://schemas.openxmlformats.org/officeDocument/2006/relationships/hyperlink" Target="https://www.aliexpress.com/item/32348760733.html?af=465576&amp;utm_campaign=465576&amp;aff_platform=portals-tool&amp;utm_medium=cpa&amp;dp=eca71e19a5b89951aaf3c27ed2a436cd&amp;cv=47843&amp;pvid=52fa3314-f16f-4485-ad20-9c32ba439336&amp;mall_affr=pr3&amp;sk=_ePNSNV&amp;aff_trace_key=6e03b88a056b4f5da3cc3ee4f0389b3c-1610199343877-06661-_ePNSNV&amp;rmsg=do_not_replacement&amp;scm=1007.23534.124000.0&amp;terminal_id=5129a28bcc5647e7b029e1bc972c0c1d&amp;utm_source=admitad&amp;utm_content=47843" TargetMode="External"/><Relationship Id="rId34" Type="http://schemas.openxmlformats.org/officeDocument/2006/relationships/hyperlink" Target="https://repalmakershop.com/products/11p-150mh-inductor?_pos=1&amp;_sid=1f67f6d28&amp;_ss=r" TargetMode="External"/><Relationship Id="rId42" Type="http://schemas.openxmlformats.org/officeDocument/2006/relationships/hyperlink" Target="https://de.aliexpress.com/item/32908913647.html?spm=a2g0o.productlist.0.0.4c0c6887zn2BNM&amp;algo_pvid=bee52318-43ef-412e-99dc-572e5ed97515&amp;algo_exp_id=bee52318-43ef-412e-99dc-572e5ed97515-12&amp;pdp_ext_f=%7B%22sku_id%22%3A%2265863783628%22%7D" TargetMode="External"/><Relationship Id="rId47" Type="http://schemas.openxmlformats.org/officeDocument/2006/relationships/hyperlink" Target="https://de.aliexpress.com/item/1005001287283298.html?spm=a2g0o.productlist.main.29.58b43e14fMncxM&amp;algo_pvid=975a621a-6b1b-4bfd-a042-0bd7a9db81e1&amp;algo_exp_id=975a621a-6b1b-4bfd-a042-0bd7a9db81e1-14&amp;pdp_ext_f=%7B%22sku_id%22%3A%2212000015580372803%22%7D&amp;pdp_npi=2%40dis%21EUR%210.3%210.28%21%21%21%21%21%40211bf48d16756713511757673d06b6%2112000015580372803%21sea&amp;curPageLogUid=MlEgHGq2f9Tl" TargetMode="External"/><Relationship Id="rId50" Type="http://schemas.openxmlformats.org/officeDocument/2006/relationships/hyperlink" Target="https://de.aliexpress.com/item/32484040246.html?spm=a2g0o.productlist.main.1.ae854632LKFzX8&amp;algo_pvid=6b7b30a4-84e9-45e5-adf5-72e811465eac&amp;aem_p4p_detail=202302060027583717108438030000000437127&amp;algo_exp_id=6b7b30a4-84e9-45e5-adf5-72e811465eac-0&amp;pdp_ext_f=%7B%22sku_id%22%3A%2210000006782105056%22%7D&amp;pdp_npi=2%40dis%21EUR%211.77%210.09%21%21%21%21%21%402145288516756720787835813d0761%2110000006782105056%21sea&amp;curPageLogUid=bK3JvQFx8Mm6&amp;ad_pvid=202302060027583717108438030000000437127_1&amp;ad_pvid=202302060027583717108438030000000437127_1" TargetMode="External"/><Relationship Id="rId55" Type="http://schemas.openxmlformats.org/officeDocument/2006/relationships/vmlDrawing" Target="../drawings/vmlDrawing1.vml"/><Relationship Id="rId7" Type="http://schemas.openxmlformats.org/officeDocument/2006/relationships/hyperlink" Target="https://www.aliexpress.com/item/33040577503.html?cv=47843&amp;af=465576&amp;utm_campaign=465576&amp;aff_platform=portals-tool&amp;mall_affr=pr3&amp;utm_medium=cpa&amp;sk=_ePNSNV&amp;aff_trace_key=914e0231839c41bd8c36e88a577556d3-1610197520416-00170-_ePNSNV&amp;dp=afa991c139a6e5fddcb8f0d40a821464&amp;terminal_id=5129a28bcc5647e7b029e1bc972c0c1d&amp;utm_source=admitad&amp;utm_content=47843" TargetMode="External"/><Relationship Id="rId12" Type="http://schemas.openxmlformats.org/officeDocument/2006/relationships/hyperlink" Target="https://www.aliexpress.com/item/32851664724.html?cv=47843&amp;af=465576&amp;utm_campaign=465576&amp;aff_platform=api-new-hotproduct-download&amp;mall_affr=pr3&amp;utm_medium=cpa&amp;aff_trace_key=514db1c639914122bb1e50353cd7f1e5-1610198306954-09201&amp;dp=6a0ebdb7067bab70dca0f86d99a97e2a&amp;terminal_id=5129a28bcc5647e7b029e1bc972c0c1d&amp;tmLog=new_Detail&amp;utm_source=admitad&amp;utm_content=47843" TargetMode="External"/><Relationship Id="rId17" Type="http://schemas.openxmlformats.org/officeDocument/2006/relationships/hyperlink" Target="https://www.aliexpress.com/item/32964734700.html?cv=47843&amp;af=465576&amp;utm_campaign=465576&amp;aff_platform=portals-tool&amp;mall_affr=pr3&amp;utm_medium=cpa&amp;sk=_ePNSNV&amp;aff_trace_key=5ab1fdc62f3443b6a63abd3b64d48657-1610199008053-04926-_ePNSNV&amp;dp=3bfbf36fdffeca970c0dd9d2be642090&amp;terminal_id=5129a28bcc5647e7b029e1bc972c0c1d&amp;utm_source=admitad&amp;utm_content=47843" TargetMode="External"/><Relationship Id="rId25" Type="http://schemas.openxmlformats.org/officeDocument/2006/relationships/hyperlink" Target="https://repalmakershop.com/collections/3d-printed-lwan-mower-bundle/products/pcb-build-pack" TargetMode="External"/><Relationship Id="rId33" Type="http://schemas.openxmlformats.org/officeDocument/2006/relationships/hyperlink" Target="https://www.aliexpress.com/item/32771873030.html?spm=a2g0o.productlist.0.0.1198731fL8dbSV&amp;algo_pvid=581bf272-69b4-447d-ac88-2604cd4bb0f3&amp;algo_expid=581bf272-69b4-447d-ac88-2604cd4bb0f3-5&amp;btsid=2100bde716102111720713328eb83f&amp;ws_ab_test=searchweb0_0,searchweb201602_,searchweb201603_" TargetMode="External"/><Relationship Id="rId38" Type="http://schemas.openxmlformats.org/officeDocument/2006/relationships/hyperlink" Target="https://www.aliexpress.com/item/561395251.html?cv=47843&amp;af=465576&amp;utm_campaign=465576&amp;aff_platform=portals-tool&amp;mall_affr=pr3&amp;utm_medium=cpa&amp;sk=_ePNSNV&amp;aff_trace_key=bd9ed898f2e34b9bb459075c00220735-1610212690876-09246-_ePNSNV&amp;dp=aab20e275fe66492eaf1bd2fef52e2a9&amp;terminal_id=5129a28bcc5647e7b029e1bc972c0c1d&amp;utm_source=admitad&amp;utm_content=47843" TargetMode="External"/><Relationship Id="rId46" Type="http://schemas.openxmlformats.org/officeDocument/2006/relationships/hyperlink" Target="https://de.aliexpress.com/item/32341832857.html?spm=a2g0o.store_pc_allProduct.8148356.1.1d9c72d6FNwS99&amp;pdp_npi=2%40dis%21EUR%21%E2%82%AC%202%2C70%21%E2%82%AC%202%2C45%21%21%21%21%21%402101f49e16756711520838863e13d5%2166603245639%21sh" TargetMode="External"/><Relationship Id="rId2" Type="http://schemas.openxmlformats.org/officeDocument/2006/relationships/hyperlink" Target="https://www.aliexpress.com/item/32976004601.html?cv=47843&amp;af=465576&amp;utm_campaign=465576&amp;aff_platform=portals-tool&amp;mall_affr=pr3&amp;utm_medium=cpa&amp;sk=_ePNSNV&amp;aff_trace_key=d72807ed800e47958de79e058016bf2d-1610196953699-05077-_ePNSNV&amp;dp=0ff5e0fc4a4c4bc4dd1b28ba19c2a931&amp;terminal_id=5129a28bcc5647e7b029e1bc972c0c1d&amp;utm_source=admitad&amp;utm_content=47843" TargetMode="External"/><Relationship Id="rId16" Type="http://schemas.openxmlformats.org/officeDocument/2006/relationships/hyperlink" Target="https://www.aliexpress.com/item/32878065864.html?af=465576&amp;utm_campaign=465576&amp;aff_platform=portals-tool&amp;utm_medium=cpa&amp;dp=cb0b40293ba915c02a2a8aa2a8819f75&amp;cv=47843&amp;pvid=707d8177-7673-4638-99d8-76b7de883fa5&amp;mall_affr=pr3&amp;sk=_ePNSNV&amp;aff_trace_key=02a705a8792a4488800acc86342fb7d3-1610198754939-04799-_ePNSNV&amp;rmsg=do_not_replacement&amp;scm=1007.23534.124000.0&amp;terminal_id=5129a28bcc5647e7b029e1bc972c0c1d&amp;utm_source=admitad&amp;utm_content=47843" TargetMode="External"/><Relationship Id="rId20" Type="http://schemas.openxmlformats.org/officeDocument/2006/relationships/hyperlink" Target="https://www.aliexpress.com/item/32959006111.html?cv=47843&amp;af=465576&amp;utm_campaign=465576&amp;aff_platform=portals-tool&amp;mall_affr=pr3&amp;utm_medium=cpa&amp;sk=_ePNSNV&amp;aff_trace_key=da5e27e472a44ee88fa7bd305e0aa633-1610199276612-00596-_ePNSNV&amp;dp=9f371625c62d03d0d9254efd32095474&amp;terminal_id=5129a28bcc5647e7b029e1bc972c0c1d&amp;utm_source=admitad&amp;utm_content=47843" TargetMode="External"/><Relationship Id="rId29" Type="http://schemas.openxmlformats.org/officeDocument/2006/relationships/hyperlink" Target="https://repalmakershop.com/collections/alu-parts/products/alu-rear-axle" TargetMode="External"/><Relationship Id="rId41" Type="http://schemas.openxmlformats.org/officeDocument/2006/relationships/hyperlink" Target="https://www.aliexpress.com/item/32556087234.html?af=465576&amp;utm_campaign=465576&amp;aff_platform=portals-tool&amp;utm_medium=cpa&amp;dp=644cf8aafe642b25fb631478c4182d4d&amp;cv=47843&amp;pvid=f6013a11-8e56-4d18-bf5c-36e9ecc3398e&amp;mall_affr=pr3&amp;sk=_ePNSNV&amp;aff_trace_key=1bf2984076384009841259d1fb5a295f-1610213837445-00181-_ePNSNV&amp;rmsg=do_not_replacement&amp;scm=1007.23534.124000.0&amp;terminal_id=5129a28bcc5647e7b029e1bc972c0c1d&amp;utm_source=admitad&amp;utm_content=47843" TargetMode="External"/><Relationship Id="rId54" Type="http://schemas.openxmlformats.org/officeDocument/2006/relationships/printerSettings" Target="../printerSettings/printerSettings1.bin"/><Relationship Id="rId1" Type="http://schemas.openxmlformats.org/officeDocument/2006/relationships/hyperlink" Target="https://www.aliexpress.com/item/1005001329500320.html?af=465576&amp;utm_campaign=465576&amp;aff_platform=portals-tool&amp;utm_medium=cpa&amp;dp=16f9cbd120f75584b0b2e637191be9ad&amp;cv=47843&amp;pvid=2a020a4a-d8c3-4977-84af-6dc515894de2&amp;mall_affr=pr3&amp;sk=_ePNSNV&amp;aff_trace_key=37a671123dfd4cefb9b4f4931734d739-1610196409641-08435-_ePNSNV&amp;rmsg=do_not_replacement&amp;scm=1007.23534.124000.0&amp;terminal_id=5129a28bcc5647e7b029e1bc972c0c1d&amp;utm_source=admitad&amp;utm_content=47843" TargetMode="External"/><Relationship Id="rId6" Type="http://schemas.openxmlformats.org/officeDocument/2006/relationships/hyperlink" Target="https://www.aliexpress.com/item/32556087234.html" TargetMode="External"/><Relationship Id="rId11" Type="http://schemas.openxmlformats.org/officeDocument/2006/relationships/hyperlink" Target="https://www.aliexpress.com/item/33055608252.html?cv=47843&amp;af=465576&amp;utm_campaign=465576&amp;aff_platform=portals-tool&amp;mall_affr=pr3&amp;utm_medium=cpa&amp;sk=_ePNSNV&amp;aff_trace_key=bf64da4102554de0932cb8fbd24c4fc4-1610198126314-06579-_ePNSNV&amp;dp=e20a47faa6d83d04ebf18c8700f115f3&amp;terminal_id=5129a28bcc5647e7b029e1bc972c0c1d&amp;utm_source=admitad&amp;utm_content=47843" TargetMode="External"/><Relationship Id="rId24" Type="http://schemas.openxmlformats.org/officeDocument/2006/relationships/hyperlink" Target="https://www.aliexpress.com/item/32215648796.html?af=465576&amp;utm_campaign=465576&amp;aff_platform=portals-tool&amp;utm_medium=cpa&amp;dp=e28e52b5f922947bd2773d9d65993ba1&amp;cv=47843&amp;pvid=08b25a28-93d5-48b3-9aa7-16ac5e847186&amp;mall_affr=pr3&amp;sk=_ePNSNV&amp;aff_trace_key=2b60e023fc11416090b467d270af95f7-1610200866886-06499-_ePNSNV&amp;rmsg=do_not_replacement&amp;scm=1007.23534.124000.0&amp;terminal_id=470d6ec222324ffbad52bb9eff613be9&amp;utm_source=admitad&amp;utm_content=47843" TargetMode="External"/><Relationship Id="rId32" Type="http://schemas.openxmlformats.org/officeDocument/2006/relationships/hyperlink" Target="https://www.aliexpress.com/item/1005001636295529.html?spm=a2g0o.productlist.0.0.6d682f6bOezilb&amp;algo_pvid=8f23d670-7958-4db3-bd03-95487a6e764a&amp;algo_expid=8f23d670-7958-4db3-bd03-95487a6e764a-1&amp;btsid=0b0a0ac216102110652348718e3a23&amp;ws_ab_test=searchweb0_0,searchweb201602_,searchweb201603_" TargetMode="External"/><Relationship Id="rId37" Type="http://schemas.openxmlformats.org/officeDocument/2006/relationships/hyperlink" Target="https://www.aliexpress.com/item/32683014332.html?cv=47843&amp;af=465576&amp;utm_campaign=465576&amp;aff_platform=portals-tool&amp;mall_affr=pr3&amp;utm_medium=cpa&amp;sk=_ePNSNV&amp;aff_trace_key=f99770f2a41e40b680de770372b822a9-1610212643714-06026-_ePNSNV&amp;dp=3bf2cb02f728d1ece206aba652325263&amp;terminal_id=5129a28bcc5647e7b029e1bc972c0c1d&amp;utm_source=admitad&amp;utm_content=47843" TargetMode="External"/><Relationship Id="rId40" Type="http://schemas.openxmlformats.org/officeDocument/2006/relationships/hyperlink" Target="https://www.aliexpress.com/item/32341874990.html?af=465576&amp;utm_campaign=465576&amp;aff_platform=portals-tool&amp;utm_medium=cpa&amp;dp=94f2502f575d199a67164cc42f6b6be6&amp;cv=47843&amp;pvid=7e94d2ba-932f-4599-8578-5e8ba980c2de&amp;mall_affr=pr3&amp;sk=_ePNSNV&amp;aff_trace_key=8d5cca16d0f54ae98bc2c7db72754ed2-1610200627958-05106-_ePNSNV&amp;rmsg=do_not_replacement&amp;scm=1007.23534.124000.0&amp;terminal_id=470d6ec222324ffbad52bb9eff613be9&amp;utm_source=admitad&amp;utm_content=47843" TargetMode="External"/><Relationship Id="rId45" Type="http://schemas.openxmlformats.org/officeDocument/2006/relationships/hyperlink" Target="https://de.aliexpress.com/item/1005001928029759.html?aff_fcid=51cc9084d15345b78193db85f86aeed9-1635593237443-01471-_2a2fZ5z&amp;aff_fsk=_2a2fZ5z&amp;aff_platform=api-new-link-generate&amp;sk=_2a2fZ5z&amp;aff_trace_key=51cc9084d15345b78193db85f86aeed9-1635593237443-01471-_2a2fZ5z&amp;terminal_id=b55c7d14397e49f88f10b2dd656f05fc" TargetMode="External"/><Relationship Id="rId53" Type="http://schemas.openxmlformats.org/officeDocument/2006/relationships/hyperlink" Target="https://de.aliexpress.com/item/32992442253.html?spm=a2g0o.productlist.main.15.521921a10Iuvzm&amp;algo_pvid=7a5c6ed5-158c-4ff1-9052-57721456e0ba&amp;aem_p4p_detail=20230206011350686239335822810000558261&amp;algo_exp_id=7a5c6ed5-158c-4ff1-9052-57721456e0ba-7&amp;pdp_ext_f=%7B%22sku_id%22%3A%2212000025199342771%22%7D&amp;pdp_npi=2%40dis%21EUR%215.49%214.72%21%21%21%21%21%402100bb6416756748303354535d073e%2112000025199342771%21sea&amp;curPageLogUid=tdrr6gsAcykp&amp;ad_pvid=20230206011350686239335822810000558261_8&amp;ad_pvid=20230206011350686239335822810000558261_8" TargetMode="External"/><Relationship Id="rId5" Type="http://schemas.openxmlformats.org/officeDocument/2006/relationships/hyperlink" Target="https://www.aliexpress.com/item/32850843888.html?af=465576&amp;utm_campaign=465576&amp;aff_platform=portals-tool&amp;utm_medium=cpa&amp;dp=03f0bf3a571fccf011aa0d44ca93f79d&amp;cv=47843&amp;pvid=c5d89935-e291-438c-87de-47ce2c59d631&amp;mall_affr=pr3&amp;sk=_ePNSNV&amp;aff_trace_key=01731af2caa6468086aa0a98975dbe98-1610197384141-04255-_ePNSNV&amp;rmsg=do_not_replacement&amp;scm=1007.23534.124000.0&amp;terminal_id=5129a28bcc5647e7b029e1bc972c0c1d&amp;utm_source=admitad&amp;utm_content=47843" TargetMode="External"/><Relationship Id="rId15" Type="http://schemas.openxmlformats.org/officeDocument/2006/relationships/hyperlink" Target="https://www.aliexpress.com/item/33002494308.html?cv=47843&amp;af=465576&amp;utm_campaign=465576&amp;aff_platform=portals-tool&amp;mall_affr=pr3&amp;utm_medium=cpa&amp;sk=_ePNSNV&amp;aff_trace_key=46aceab540dd41a6a4daf3aaefd997ee-1610198587367-08192-_ePNSNV&amp;dp=c049ecd8fa436ea484b311e5036bf380&amp;terminal_id=5129a28bcc5647e7b029e1bc972c0c1d&amp;utm_source=admitad&amp;utm_content=47843" TargetMode="External"/><Relationship Id="rId23" Type="http://schemas.openxmlformats.org/officeDocument/2006/relationships/hyperlink" Target="https://www.aliexpress.com/item/32341874990.html?af=465576&amp;utm_campaign=465576&amp;aff_platform=portals-tool&amp;utm_medium=cpa&amp;dp=94f2502f575d199a67164cc42f6b6be6&amp;cv=47843&amp;pvid=7e94d2ba-932f-4599-8578-5e8ba980c2de&amp;mall_affr=pr3&amp;sk=_ePNSNV&amp;aff_trace_key=8d5cca16d0f54ae98bc2c7db72754ed2-1610200627958-05106-_ePNSNV&amp;rmsg=do_not_replacement&amp;scm=1007.23534.124000.0&amp;terminal_id=470d6ec222324ffbad52bb9eff613be9&amp;utm_source=admitad&amp;utm_content=47843" TargetMode="External"/><Relationship Id="rId28" Type="http://schemas.openxmlformats.org/officeDocument/2006/relationships/hyperlink" Target="https://www.aliexpress.com/item/32867865319.html?af=465576&amp;utm_campaign=465576&amp;aff_platform=portals-tool&amp;utm_medium=cpa&amp;dp=7a594ff16f9c6c3f6d712a11d34eba42&amp;cv=47843&amp;pvid=643aba07-e95e-42fd-9624-3cf28f33c9c5&amp;mall_affr=pr3&amp;sk=_ePNSNV&amp;aff_trace_key=d93f69c117ad4ae4bf420e01724cae0f-1610201121259-08584-_ePNSNV&amp;rmsg=do_not_replacement&amp;scm=1007.23534.124000.0&amp;terminal_id=470d6ec222324ffbad52bb9eff613be9&amp;utm_source=admitad&amp;utm_content=47843" TargetMode="External"/><Relationship Id="rId36" Type="http://schemas.openxmlformats.org/officeDocument/2006/relationships/hyperlink" Target="https://www.aliexpress.com/item/32872439317.html?cv=47843&amp;af=465576&amp;utm_campaign=465576&amp;aff_platform=api-new-hotproduct-download&amp;mall_affr=pr3&amp;utm_medium=cpa&amp;aff_trace_key=03610de63769415592472be9164364a9-1610212584888-08645&amp;dp=b4ab68d5f07af9aa1891c952b153b7f3&amp;terminal_id=5129a28bcc5647e7b029e1bc972c0c1d&amp;tmLog=new_Detail&amp;utm_source=admitad&amp;utm_content=47843" TargetMode="External"/><Relationship Id="rId49" Type="http://schemas.openxmlformats.org/officeDocument/2006/relationships/hyperlink" Target="https://de.aliexpress.com/item/10000002013575.html?spm=a2g0o.productlist.main.19.5ed02f4bRgb882&amp;algo_pvid=02611ed5-54f3-4d1f-b711-62094e4ac68f&amp;algo_exp_id=02611ed5-54f3-4d1f-b711-62094e4ac68f-9&amp;pdp_ext_f=%7B%22sku_id%22%3A%2220000000005864123%22%7D&amp;pdp_npi=2%40dis%21EUR%212.18%211.53%21%21%21%21%21%40210217c716756718816368839d06bc%2120000000005864123%21sea&amp;curPageLogUid=iO1umRWBu3hH" TargetMode="External"/><Relationship Id="rId10" Type="http://schemas.openxmlformats.org/officeDocument/2006/relationships/hyperlink" Target="https://www.aliexpress.com/item/33055608252.html?cv=47843&amp;af=465576&amp;utm_campaign=465576&amp;aff_platform=portals-tool&amp;mall_affr=pr3&amp;utm_medium=cpa&amp;sk=_ePNSNV&amp;aff_trace_key=bf64da4102554de0932cb8fbd24c4fc4-1610198126314-06579-_ePNSNV&amp;dp=e20a47faa6d83d04ebf18c8700f115f3&amp;terminal_id=5129a28bcc5647e7b029e1bc972c0c1d&amp;utm_source=admitad&amp;utm_content=47843" TargetMode="External"/><Relationship Id="rId19" Type="http://schemas.openxmlformats.org/officeDocument/2006/relationships/hyperlink" Target="https://www.aliexpress.com/item/32712430715.html?af=465576&amp;utm_campaign=465576&amp;aff_platform=portals-tool&amp;utm_medium=cpa&amp;dp=2c2ae5ad6dc4c603275fb82f48f4ff39&amp;cv=47843&amp;pvid=df067a57-6f2b-42fd-a260-9412bbafc8d9&amp;mall_affr=pr3&amp;sk=_ePNSNV&amp;aff_trace_key=26c7ead4713548cbaac420421214e6fe-1610199223636-04402-_ePNSNV&amp;rmsg=do_not_replacement&amp;scm=1007.23534.124000.0&amp;terminal_id=5129a28bcc5647e7b029e1bc972c0c1d&amp;utm_source=admitad&amp;utm_content=47843" TargetMode="External"/><Relationship Id="rId31" Type="http://schemas.openxmlformats.org/officeDocument/2006/relationships/hyperlink" Target="https://www.u-blox.com/en/product/c94-m8p" TargetMode="External"/><Relationship Id="rId44" Type="http://schemas.openxmlformats.org/officeDocument/2006/relationships/hyperlink" Target="https://www.aliexpress.com/item/32462149418.html?af=465576&amp;utm_campaign=465576&amp;aff_platform=portals-tool&amp;utm_medium=cpa&amp;dp=656da2d75ddcb054a33d32a243e7b678&amp;cv=47843&amp;pvid=66538326-55dd-464c-b23e-b3570117c943&amp;mall_affr=pr3&amp;sk=_ePNSNV&amp;aff_trace_key=b062543313754279a17500dce34cce22-1610212478677-03409-_ePNSNV&amp;rmsg=do_not_replacement&amp;scm=1007.23534.124000.0&amp;terminal_id=5129a28bcc5647e7b029e1bc972c0c1d&amp;utm_source=admitad&amp;utm_content=47843" TargetMode="External"/><Relationship Id="rId52" Type="http://schemas.openxmlformats.org/officeDocument/2006/relationships/hyperlink" Target="https://de.aliexpress.com/item/1005002320975566.html?spm=a2g0o.store_pc_allProduct.0.0.6a2f55adhyGJOA&amp;pdp_ext_f=%7B%22sku_id%22%3A%2212000020086896796%22%2C%22ship_from%22%3A%22CN%22%7D&amp;gps-id=pcStoreJustForYou&amp;scm=1007.23125.137358.0&amp;scm_id=1007.23125.137358.0&amp;scm-url=1007.23125.137358.0&amp;pvid=e81cb63a-6e9e-4304-ab47-e62a8ee566fe&amp;gatewayAdapt=glo2deu" TargetMode="External"/><Relationship Id="rId4" Type="http://schemas.openxmlformats.org/officeDocument/2006/relationships/hyperlink" Target="https://www.aliexpress.com/item/32344297718.html?aff_platform=api-new-link-generate&amp;sk=_bWy099B&amp;aff_trace_key=08a35b21001647779fc3b5c12d3ed96c-1610197189066-06662-_bWy099B&amp;terminal_id=5129a28bcc5647e7b029e1bc972c0c1d" TargetMode="External"/><Relationship Id="rId9" Type="http://schemas.openxmlformats.org/officeDocument/2006/relationships/hyperlink" Target="https://www.aliexpress.com/item/32340867544.html?af=465576&amp;utm_campaign=465576&amp;aff_platform=portals-tool&amp;utm_medium=cpa&amp;dp=fbc7c9abf1e8b445e24f0d08c57bdd39&amp;cv=47843&amp;pvid=ae6ed85f-4a71-4d33-90a3-7311412a9e48&amp;mall_affr=pr3&amp;sk=_ePNSNV&amp;aff_trace_key=b8ab6a498f284c07a3930c28fe263bce-1610198048860-03863-_ePNSNV&amp;rmsg=do_not_replacement&amp;scm=1007.23534.124000.0&amp;terminal_id=5129a28bcc5647e7b029e1bc972c0c1d&amp;utm_source=admitad&amp;utm_content=47843" TargetMode="External"/><Relationship Id="rId14" Type="http://schemas.openxmlformats.org/officeDocument/2006/relationships/hyperlink" Target="https://www.aliexpress.com/item/32874720049.html?af=465576&amp;utm_campaign=465576&amp;aff_platform=portals-tool&amp;utm_medium=cpa&amp;dp=9e7a0b943430ed6344cf826789cf7c68&amp;cv=47843&amp;pvid=c7c6ad6a-da3b-4e3f-9f04-24d00f055459&amp;mall_affr=pr3&amp;sk=_ePNSNV&amp;aff_trace_key=f31b261d23a54ba89b4dc81b0ae82d6e-1610198501238-05192-_ePNSNV&amp;rmsg=do_not_replacement&amp;scm=1007.23534.124000.0&amp;terminal_id=5129a28bcc5647e7b029e1bc972c0c1d&amp;utm_source=admitad&amp;utm_content=47843" TargetMode="External"/><Relationship Id="rId22" Type="http://schemas.openxmlformats.org/officeDocument/2006/relationships/hyperlink" Target="https://www.aliexpress.com/item/32477198302.html?af=465576&amp;utm_campaign=465576&amp;aff_platform=portals-tool&amp;utm_medium=cpa&amp;dp=c0e39add5cf065fad821555cc6e08405&amp;cv=47843&amp;pvid=bad1c086-0224-4f15-b61e-f360f7ed73a9&amp;mall_affr=pr3&amp;sk=_ePNSNV&amp;aff_trace_key=a13494d4a46e4196b00317d03b578254-1610200606701-01223-_ePNSNV&amp;rmsg=do_not_replacement&amp;scm=1007.23534.124000.0&amp;terminal_id=470d6ec222324ffbad52bb9eff613be9&amp;utm_source=admitad&amp;utm_content=47843" TargetMode="External"/><Relationship Id="rId27" Type="http://schemas.openxmlformats.org/officeDocument/2006/relationships/hyperlink" Target="https://www.aliexpress.com/item/32966564111.html?af=465576&amp;utm_campaign=465576&amp;aff_platform=portals-tool&amp;utm_medium=cpa&amp;dp=fe3e52ef4afe5aa36fec5e2cd912983c&amp;cv=47843&amp;pvid=30ece110-b318-44ed-b56c-c528f3c69782&amp;mall_affr=pr3&amp;sk=_ePNSNV&amp;aff_trace_key=b3ab03124f414167a7e90689e9f3ff3f-1610201341206-05147-_ePNSNV&amp;rmsg=do_not_replacement&amp;scm=1007.23534.124000.0&amp;terminal_id=470d6ec222324ffbad52bb9eff613be9&amp;utm_source=admitad&amp;utm_content=47843" TargetMode="External"/><Relationship Id="rId30" Type="http://schemas.openxmlformats.org/officeDocument/2006/relationships/hyperlink" Target="https://repalmakershop.com/collections/alu-parts/products/alu-mower-motor-adapter" TargetMode="External"/><Relationship Id="rId35" Type="http://schemas.openxmlformats.org/officeDocument/2006/relationships/hyperlink" Target="https://www.aliexpress.com/item/1967124495.html?af=465576&amp;utm_campaign=465576&amp;aff_platform=portals-tool&amp;utm_medium=cpa&amp;dp=c8bb293c7cdc161c0fee4fdc919b5155&amp;cv=47843&amp;pvid=4d0d62ee-f13f-425b-9171-438a21db26ef&amp;mall_affr=pr3&amp;sk=_ePNSNV&amp;aff_trace_key=9a117bc0d6b44f8ea00f7c81e8198736-1610212450755-02393-_ePNSNV&amp;rmsg=do_not_replacement&amp;scm=1007.23534.124000.0&amp;terminal_id=5129a28bcc5647e7b029e1bc972c0c1d&amp;utm_source=admitad&amp;utm_content=47843" TargetMode="External"/><Relationship Id="rId43" Type="http://schemas.openxmlformats.org/officeDocument/2006/relationships/hyperlink" Target="https://de.aliexpress.com/item/32908913647.html?spm=a2g0o.productlist.0.0.4c0c6887zn2BNM&amp;algo_pvid=bee52318-43ef-412e-99dc-572e5ed97515&amp;algo_exp_id=bee52318-43ef-412e-99dc-572e5ed97515-12&amp;pdp_ext_f=%7B%22sku_id%22%3A%2265863783628%22%7D" TargetMode="External"/><Relationship Id="rId48" Type="http://schemas.openxmlformats.org/officeDocument/2006/relationships/hyperlink" Target="https://de.aliexpress.com/item/1005004090772903.html?spm=a2g0o.productlist.main.23.6b981e56ZGAtYP&amp;algo_pvid=9425ddd3-8117-4389-a64e-107cec62b640&amp;algo_exp_id=9425ddd3-8117-4389-a64e-107cec62b640-11&amp;pdp_ext_f=%7B%22sku_id%22%3A%2212000028000420511%22%7D&amp;pdp_npi=2%40dis%21EUR%211.0%210.8%21%21%21%21%21%402102169316756717565988696d06ed%2112000028000420511%21sea&amp;curPageLogUid=bm9I1aEacbp5" TargetMode="External"/><Relationship Id="rId56" Type="http://schemas.openxmlformats.org/officeDocument/2006/relationships/comments" Target="../comments1.xml"/><Relationship Id="rId8" Type="http://schemas.openxmlformats.org/officeDocument/2006/relationships/hyperlink" Target="https://www.aliexpress.com/item/32665100123.html?af=465576&amp;utm_campaign=465576&amp;aff_platform=portals-tool&amp;utm_medium=cpa&amp;dp=f35eb73ab5977043d71b7efa22ec647c&amp;cv=47843&amp;pvid=4b73aa09-f01b-4058-a9f1-1adedc808770&amp;mall_affr=pr3&amp;sk=_ePNSNV&amp;aff_trace_key=6a48d41835244962b96050963e1cbba4-1610197597201-07119-_ePNSNV&amp;rmsg=do_not_replacement&amp;scm=1007.23534.124000.0&amp;terminal_id=5129a28bcc5647e7b029e1bc972c0c1d&amp;utm_source=admitad&amp;utm_content=47843" TargetMode="External"/><Relationship Id="rId51" Type="http://schemas.openxmlformats.org/officeDocument/2006/relationships/hyperlink" Target="https://de.aliexpress.com/item/1005002357962115.html?spm=a2g0o.productlist.main.7.56c05bbaxufMJB&amp;algo_pvid=054a80ec-2bba-45ba-98ba-8c7142172634&amp;aem_p4p_detail=202302060046164941164128176000000495200&amp;algo_exp_id=054a80ec-2bba-45ba-98ba-8c7142172634-3&amp;pdp_ext_f=%7B%22sku_id%22%3A%2212000020286938090%22%7D&amp;pdp_npi=2%40dis%21EUR%212.66%210.09%21%21%21%21%21%402100b18f16756731762857982d070b%2112000020286938090%21sea&amp;curPageLogUid=b51AueqxXBMZ&amp;ad_pvid=202302060046164941164128176000000495200_4&amp;ad_pvid=202302060046164941164128176000000495200_4" TargetMode="External"/><Relationship Id="rId3" Type="http://schemas.openxmlformats.org/officeDocument/2006/relationships/hyperlink" Target="https://de.aliexpress.com/item/1005001876017064.html?spm=a2g0o.productlist.main.21.18c6c815rviH6S&amp;algo_pvid=528c814b-898a-4e35-9178-9a7a6e7442c3&amp;algo_exp_id=528c814b-898a-4e35-9178-9a7a6e7442c3-10&amp;pdp_ext_f=%7B%22sku_id%22%3A%2212000017989482396%22%7D&amp;pdp_npi=2%40dis%21EUR%2129.78%2117.87%21%21%21%21%21%40211bd93f16756707554942492d0717%2112000017989482396%21sea&amp;curPageLogUid=MGJmVXWSHzy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91"/>
  <sheetViews>
    <sheetView tabSelected="1" zoomScaleNormal="100" workbookViewId="0">
      <pane ySplit="9" topLeftCell="A10" activePane="bottomLeft" state="frozenSplit"/>
      <selection pane="bottomLeft" activeCell="M30" sqref="M30"/>
    </sheetView>
  </sheetViews>
  <sheetFormatPr defaultColWidth="11.42578125" defaultRowHeight="15" x14ac:dyDescent="0.25"/>
  <cols>
    <col min="1" max="1" width="37.140625" bestFit="1" customWidth="1"/>
    <col min="2" max="2" width="3.7109375" customWidth="1"/>
    <col min="3" max="3" width="13.7109375" customWidth="1"/>
    <col min="4" max="4" width="3.7109375" customWidth="1"/>
    <col min="5" max="5" width="13.7109375" customWidth="1"/>
    <col min="6" max="6" width="3.7109375" customWidth="1"/>
    <col min="7" max="7" width="13.7109375" customWidth="1"/>
    <col min="8" max="8" width="3.7109375" customWidth="1"/>
    <col min="9" max="9" width="13.7109375" customWidth="1"/>
    <col min="10" max="10" width="3.7109375" customWidth="1"/>
    <col min="11" max="11" width="39.28515625" customWidth="1"/>
    <col min="12" max="12" width="37.7109375" customWidth="1"/>
    <col min="13" max="13" width="20.42578125" customWidth="1"/>
    <col min="14" max="14" width="9.28515625" customWidth="1"/>
    <col min="15" max="15" width="42" style="8" customWidth="1"/>
    <col min="16" max="16" width="2.85546875" style="61" customWidth="1"/>
    <col min="17" max="17" width="13.7109375" style="51" customWidth="1"/>
    <col min="18" max="18" width="3.7109375" style="51" customWidth="1"/>
    <col min="19" max="19" width="13.7109375" style="51" customWidth="1"/>
    <col min="20" max="20" width="3.7109375" style="51" customWidth="1"/>
    <col min="21" max="21" width="13.7109375" style="51" customWidth="1"/>
    <col min="22" max="22" width="3.7109375" style="51" customWidth="1"/>
    <col min="23" max="23" width="13.7109375" style="51" customWidth="1"/>
    <col min="24" max="24" width="13.7109375" style="8" customWidth="1"/>
    <col min="25" max="42" width="255.5703125" style="8" customWidth="1"/>
  </cols>
  <sheetData>
    <row r="1" spans="1:42" s="6" customFormat="1" ht="32.25" customHeight="1" x14ac:dyDescent="0.5">
      <c r="A1" s="32" t="s">
        <v>202</v>
      </c>
      <c r="E1" s="1"/>
      <c r="O1" s="2"/>
      <c r="P1" s="52"/>
      <c r="Q1" s="47"/>
      <c r="R1" s="47"/>
      <c r="S1" s="47"/>
      <c r="T1" s="47"/>
      <c r="U1" s="47"/>
      <c r="V1" s="47"/>
      <c r="W1" s="47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spans="1:42" s="6" customFormat="1" ht="6.75" customHeight="1" x14ac:dyDescent="0.25">
      <c r="O2" s="2"/>
      <c r="P2" s="52"/>
      <c r="Q2" s="47"/>
      <c r="R2" s="47"/>
      <c r="S2" s="47"/>
      <c r="T2" s="47"/>
      <c r="U2" s="47"/>
      <c r="V2" s="47"/>
      <c r="W2" s="47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</row>
    <row r="3" spans="1:42" s="6" customFormat="1" x14ac:dyDescent="0.25">
      <c r="A3" s="1" t="s">
        <v>198</v>
      </c>
      <c r="B3" s="9"/>
      <c r="E3" s="1" t="s">
        <v>200</v>
      </c>
      <c r="H3" s="26"/>
      <c r="O3" s="2"/>
      <c r="P3" s="52"/>
      <c r="Q3" s="47"/>
      <c r="R3" s="47"/>
      <c r="S3" s="47"/>
      <c r="T3" s="47"/>
      <c r="U3" s="47"/>
      <c r="V3" s="47"/>
      <c r="W3" s="47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spans="1:42" s="6" customFormat="1" ht="5.0999999999999996" customHeight="1" x14ac:dyDescent="0.25">
      <c r="A4" s="1"/>
      <c r="B4" s="1"/>
      <c r="O4" s="2"/>
      <c r="P4" s="52"/>
      <c r="Q4" s="47"/>
      <c r="R4" s="47"/>
      <c r="S4" s="47"/>
      <c r="T4" s="47"/>
      <c r="U4" s="47"/>
      <c r="V4" s="47"/>
      <c r="W4" s="47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</row>
    <row r="5" spans="1:42" s="6" customFormat="1" ht="18.75" x14ac:dyDescent="0.25">
      <c r="A5" s="1" t="s">
        <v>199</v>
      </c>
      <c r="B5" s="29"/>
      <c r="E5" s="1" t="s">
        <v>201</v>
      </c>
      <c r="H5" s="33"/>
      <c r="O5" s="2"/>
      <c r="P5" s="52"/>
      <c r="Q5" s="68" t="s">
        <v>217</v>
      </c>
      <c r="R5" s="68"/>
      <c r="S5" s="68"/>
      <c r="T5" s="68"/>
      <c r="U5" s="68"/>
      <c r="V5" s="68"/>
      <c r="W5" s="68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</row>
    <row r="6" spans="1:42" s="6" customFormat="1" ht="5.0999999999999996" customHeight="1" x14ac:dyDescent="0.25">
      <c r="A6" s="1"/>
      <c r="O6" s="2"/>
      <c r="P6" s="52"/>
      <c r="Q6" s="47"/>
      <c r="R6" s="47"/>
      <c r="S6" s="47"/>
      <c r="T6" s="47"/>
      <c r="U6" s="47"/>
      <c r="V6" s="47"/>
      <c r="W6" s="47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</row>
    <row r="7" spans="1:42" s="6" customFormat="1" ht="6" customHeight="1" x14ac:dyDescent="0.25">
      <c r="O7" s="2"/>
      <c r="P7" s="5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</row>
    <row r="8" spans="1:42" ht="21" x14ac:dyDescent="0.35">
      <c r="A8" s="6"/>
      <c r="B8" s="39" t="s">
        <v>19</v>
      </c>
      <c r="C8" s="39"/>
      <c r="D8" s="39"/>
      <c r="E8" s="39"/>
      <c r="F8" s="39"/>
      <c r="G8" s="39"/>
      <c r="H8" s="39"/>
      <c r="I8" s="39"/>
      <c r="J8" s="39"/>
      <c r="K8" s="6"/>
      <c r="L8" s="6"/>
      <c r="M8" s="6"/>
      <c r="N8" s="6"/>
      <c r="O8" s="2"/>
      <c r="P8" s="2"/>
      <c r="Q8" s="70">
        <f>Q10+Q15+Q18+Q38+Q52</f>
        <v>317.44</v>
      </c>
      <c r="R8" s="70"/>
      <c r="S8" s="70">
        <f t="shared" ref="S8:W8" si="0">S10+S15+S18+S38+S52</f>
        <v>368.84</v>
      </c>
      <c r="T8" s="70"/>
      <c r="U8" s="70">
        <f t="shared" si="0"/>
        <v>410.59</v>
      </c>
      <c r="V8" s="70"/>
      <c r="W8" s="70">
        <f t="shared" si="0"/>
        <v>467.19</v>
      </c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</row>
    <row r="9" spans="1:42" s="5" customFormat="1" ht="43.5" customHeight="1" x14ac:dyDescent="0.25">
      <c r="A9" s="7"/>
      <c r="B9" s="3"/>
      <c r="C9" s="25" t="s">
        <v>197</v>
      </c>
      <c r="D9" s="3"/>
      <c r="E9" s="25" t="s">
        <v>194</v>
      </c>
      <c r="F9" s="3"/>
      <c r="G9" s="25" t="s">
        <v>195</v>
      </c>
      <c r="H9" s="3"/>
      <c r="I9" s="25" t="s">
        <v>196</v>
      </c>
      <c r="J9" s="3"/>
      <c r="K9" s="3" t="s">
        <v>20</v>
      </c>
      <c r="L9" s="3" t="s">
        <v>56</v>
      </c>
      <c r="M9" s="25" t="s">
        <v>209</v>
      </c>
      <c r="N9" s="25"/>
      <c r="O9" s="4" t="s">
        <v>25</v>
      </c>
      <c r="P9" s="53"/>
      <c r="Q9" s="25" t="s">
        <v>197</v>
      </c>
      <c r="R9" s="3"/>
      <c r="S9" s="25" t="s">
        <v>194</v>
      </c>
      <c r="T9" s="3"/>
      <c r="U9" s="25" t="s">
        <v>195</v>
      </c>
      <c r="V9" s="3"/>
      <c r="W9" s="25" t="s">
        <v>196</v>
      </c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</row>
    <row r="10" spans="1:42" s="12" customFormat="1" x14ac:dyDescent="0.25">
      <c r="A10" s="10" t="s">
        <v>203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1"/>
      <c r="P10" s="54"/>
      <c r="Q10" s="69">
        <f>Q11</f>
        <v>20</v>
      </c>
      <c r="R10" s="48"/>
      <c r="S10" s="69">
        <f>S11</f>
        <v>20</v>
      </c>
      <c r="T10" s="48"/>
      <c r="U10" s="69">
        <f>U13</f>
        <v>56</v>
      </c>
      <c r="V10" s="48"/>
      <c r="W10" s="69">
        <f>W13</f>
        <v>56</v>
      </c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</row>
    <row r="11" spans="1:42" s="12" customFormat="1" x14ac:dyDescent="0.25">
      <c r="A11" s="13" t="s">
        <v>184</v>
      </c>
      <c r="B11" s="71"/>
      <c r="C11" s="14">
        <v>2</v>
      </c>
      <c r="D11" s="71"/>
      <c r="E11" s="14">
        <v>2</v>
      </c>
      <c r="F11" s="71"/>
      <c r="G11" s="14" t="s">
        <v>27</v>
      </c>
      <c r="H11" s="71"/>
      <c r="I11" s="14" t="s">
        <v>27</v>
      </c>
      <c r="J11" s="71"/>
      <c r="K11" s="14" t="s">
        <v>21</v>
      </c>
      <c r="L11" s="14" t="s">
        <v>32</v>
      </c>
      <c r="M11" s="40">
        <v>10</v>
      </c>
      <c r="N11" s="40"/>
      <c r="O11" s="37" t="s">
        <v>33</v>
      </c>
      <c r="P11" s="55" t="s">
        <v>218</v>
      </c>
      <c r="Q11" s="49">
        <f>$M$11*C11</f>
        <v>20</v>
      </c>
      <c r="R11" s="49"/>
      <c r="S11" s="49">
        <f>$M$11*E11</f>
        <v>20</v>
      </c>
      <c r="T11" s="49"/>
      <c r="U11" s="49"/>
      <c r="V11" s="49"/>
      <c r="W11" s="49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</row>
    <row r="12" spans="1:42" s="12" customFormat="1" x14ac:dyDescent="0.25">
      <c r="A12" s="16" t="s">
        <v>185</v>
      </c>
      <c r="B12" s="71"/>
      <c r="C12" s="17" t="s">
        <v>27</v>
      </c>
      <c r="D12" s="71"/>
      <c r="E12" s="17">
        <v>2</v>
      </c>
      <c r="F12" s="71"/>
      <c r="G12" s="17">
        <v>2</v>
      </c>
      <c r="H12" s="71"/>
      <c r="I12" s="17">
        <v>2</v>
      </c>
      <c r="J12" s="71"/>
      <c r="K12" s="17" t="s">
        <v>22</v>
      </c>
      <c r="L12" s="17" t="s">
        <v>32</v>
      </c>
      <c r="M12" s="41">
        <v>35</v>
      </c>
      <c r="N12" s="41"/>
      <c r="O12" s="18" t="s">
        <v>29</v>
      </c>
      <c r="P12" s="56" t="s">
        <v>218</v>
      </c>
      <c r="Q12" s="62"/>
      <c r="R12" s="62"/>
      <c r="S12" s="62">
        <f>$M$12*E12</f>
        <v>70</v>
      </c>
      <c r="T12" s="62"/>
      <c r="U12" s="62">
        <f>$M$12*G12</f>
        <v>70</v>
      </c>
      <c r="V12" s="62"/>
      <c r="W12" s="62">
        <f>$M$12*I12</f>
        <v>70</v>
      </c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</row>
    <row r="13" spans="1:42" s="12" customFormat="1" x14ac:dyDescent="0.25">
      <c r="A13" s="13" t="s">
        <v>186</v>
      </c>
      <c r="B13" s="71"/>
      <c r="C13" s="14" t="s">
        <v>27</v>
      </c>
      <c r="D13" s="71"/>
      <c r="E13" s="14" t="s">
        <v>27</v>
      </c>
      <c r="F13" s="71"/>
      <c r="G13" s="14">
        <v>2</v>
      </c>
      <c r="H13" s="71"/>
      <c r="I13" s="14">
        <v>2</v>
      </c>
      <c r="J13" s="71"/>
      <c r="K13" s="14" t="s">
        <v>28</v>
      </c>
      <c r="L13" s="14" t="s">
        <v>28</v>
      </c>
      <c r="M13" s="40">
        <v>28</v>
      </c>
      <c r="N13" s="40"/>
      <c r="O13" s="15" t="s">
        <v>26</v>
      </c>
      <c r="P13" s="55" t="s">
        <v>218</v>
      </c>
      <c r="Q13" s="49"/>
      <c r="R13" s="49"/>
      <c r="S13" s="49"/>
      <c r="T13" s="49"/>
      <c r="U13" s="49">
        <f>$M$13*G13</f>
        <v>56</v>
      </c>
      <c r="V13" s="49"/>
      <c r="W13" s="49">
        <f>$M$13*I13</f>
        <v>56</v>
      </c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</row>
    <row r="14" spans="1:42" s="12" customFormat="1" x14ac:dyDescent="0.25">
      <c r="A14" s="13"/>
      <c r="B14" s="71"/>
      <c r="C14" s="14"/>
      <c r="D14" s="71"/>
      <c r="E14" s="14"/>
      <c r="F14" s="71"/>
      <c r="G14" s="14"/>
      <c r="H14" s="71"/>
      <c r="I14" s="14"/>
      <c r="J14" s="71"/>
      <c r="K14" s="14"/>
      <c r="L14" s="14"/>
      <c r="M14" s="40"/>
      <c r="N14" s="40"/>
      <c r="O14" s="15"/>
      <c r="P14" s="55"/>
      <c r="Q14" s="49"/>
      <c r="R14" s="49"/>
      <c r="S14" s="49"/>
      <c r="T14" s="49"/>
      <c r="U14" s="49"/>
      <c r="V14" s="49"/>
      <c r="W14" s="49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</row>
    <row r="15" spans="1:42" s="12" customFormat="1" x14ac:dyDescent="0.25">
      <c r="A15" s="10" t="s">
        <v>183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42"/>
      <c r="N15" s="42"/>
      <c r="O15" s="11"/>
      <c r="P15" s="54"/>
      <c r="Q15" s="65">
        <f>Q16</f>
        <v>20</v>
      </c>
      <c r="R15" s="65"/>
      <c r="S15" s="65">
        <f t="shared" ref="S15:W15" si="1">S16</f>
        <v>20</v>
      </c>
      <c r="T15" s="65"/>
      <c r="U15" s="65">
        <f t="shared" si="1"/>
        <v>20</v>
      </c>
      <c r="V15" s="65"/>
      <c r="W15" s="65">
        <f t="shared" si="1"/>
        <v>60</v>
      </c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</row>
    <row r="16" spans="1:42" s="12" customFormat="1" x14ac:dyDescent="0.25">
      <c r="A16" s="13" t="s">
        <v>23</v>
      </c>
      <c r="B16" s="71"/>
      <c r="C16" s="14">
        <v>1</v>
      </c>
      <c r="D16" s="71"/>
      <c r="E16" s="14">
        <v>1</v>
      </c>
      <c r="F16" s="71"/>
      <c r="G16" s="14">
        <v>1</v>
      </c>
      <c r="H16" s="71"/>
      <c r="I16" s="14">
        <v>3</v>
      </c>
      <c r="J16" s="71"/>
      <c r="K16" s="14" t="s">
        <v>30</v>
      </c>
      <c r="L16" s="14" t="s">
        <v>31</v>
      </c>
      <c r="M16" s="40">
        <v>20</v>
      </c>
      <c r="N16" s="40"/>
      <c r="O16" s="37" t="s">
        <v>208</v>
      </c>
      <c r="P16" s="55" t="s">
        <v>218</v>
      </c>
      <c r="Q16" s="49">
        <f>$M$16*C16</f>
        <v>20</v>
      </c>
      <c r="R16" s="49"/>
      <c r="S16" s="49">
        <f t="shared" ref="R16:W16" si="2">$M$16*E16</f>
        <v>20</v>
      </c>
      <c r="T16" s="49"/>
      <c r="U16" s="49">
        <f t="shared" si="2"/>
        <v>20</v>
      </c>
      <c r="V16" s="49"/>
      <c r="W16" s="49">
        <f t="shared" si="2"/>
        <v>60</v>
      </c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</row>
    <row r="17" spans="1:42" s="12" customFormat="1" x14ac:dyDescent="0.25">
      <c r="A17" s="13"/>
      <c r="B17" s="71"/>
      <c r="C17" s="14"/>
      <c r="D17" s="71"/>
      <c r="E17" s="14"/>
      <c r="F17" s="71"/>
      <c r="G17" s="14"/>
      <c r="H17" s="71"/>
      <c r="I17" s="14"/>
      <c r="J17" s="71"/>
      <c r="K17" s="14"/>
      <c r="L17" s="14"/>
      <c r="M17" s="40"/>
      <c r="N17" s="40"/>
      <c r="O17" s="15"/>
      <c r="P17" s="55"/>
      <c r="Q17" s="49"/>
      <c r="R17" s="49"/>
      <c r="S17" s="49"/>
      <c r="T17" s="49"/>
      <c r="U17" s="49"/>
      <c r="V17" s="49"/>
      <c r="W17" s="49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</row>
    <row r="18" spans="1:42" s="12" customFormat="1" x14ac:dyDescent="0.25">
      <c r="A18" s="10" t="s">
        <v>57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42"/>
      <c r="N18" s="42"/>
      <c r="O18" s="11"/>
      <c r="P18" s="54"/>
      <c r="Q18" s="65">
        <f>SUM(Q19:Q36)</f>
        <v>102.75000000000001</v>
      </c>
      <c r="R18" s="65"/>
      <c r="S18" s="65">
        <f t="shared" ref="S18:W18" si="3">SUM(S19:S36)</f>
        <v>105.75000000000001</v>
      </c>
      <c r="T18" s="65"/>
      <c r="U18" s="65">
        <f t="shared" si="3"/>
        <v>108.50000000000001</v>
      </c>
      <c r="V18" s="65"/>
      <c r="W18" s="65">
        <f t="shared" si="3"/>
        <v>119.50000000000001</v>
      </c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</row>
    <row r="19" spans="1:42" s="12" customFormat="1" x14ac:dyDescent="0.25">
      <c r="A19" s="13" t="s">
        <v>24</v>
      </c>
      <c r="B19" s="71"/>
      <c r="C19" s="14">
        <v>1</v>
      </c>
      <c r="D19" s="71"/>
      <c r="E19" s="14">
        <v>1</v>
      </c>
      <c r="F19" s="71"/>
      <c r="G19" s="14">
        <v>1</v>
      </c>
      <c r="H19" s="71"/>
      <c r="I19" s="14">
        <v>1</v>
      </c>
      <c r="J19" s="71"/>
      <c r="K19" s="14" t="s">
        <v>34</v>
      </c>
      <c r="L19" s="14" t="s">
        <v>35</v>
      </c>
      <c r="M19" s="40">
        <v>15</v>
      </c>
      <c r="N19" s="40"/>
      <c r="O19" s="37" t="s">
        <v>207</v>
      </c>
      <c r="P19" s="55" t="s">
        <v>218</v>
      </c>
      <c r="Q19" s="49">
        <f>$M$19*C19</f>
        <v>15</v>
      </c>
      <c r="R19" s="49"/>
      <c r="S19" s="49">
        <f t="shared" ref="R19:W19" si="4">$M$19*E19</f>
        <v>15</v>
      </c>
      <c r="T19" s="49"/>
      <c r="U19" s="49">
        <f t="shared" si="4"/>
        <v>15</v>
      </c>
      <c r="V19" s="49"/>
      <c r="W19" s="49">
        <f t="shared" si="4"/>
        <v>15</v>
      </c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</row>
    <row r="20" spans="1:42" s="12" customFormat="1" x14ac:dyDescent="0.25">
      <c r="A20" s="16" t="s">
        <v>1</v>
      </c>
      <c r="B20" s="71"/>
      <c r="C20" s="17">
        <v>2</v>
      </c>
      <c r="D20" s="71"/>
      <c r="E20" s="17">
        <v>2</v>
      </c>
      <c r="F20" s="71"/>
      <c r="G20" s="17">
        <v>2</v>
      </c>
      <c r="H20" s="71"/>
      <c r="I20" s="17">
        <v>2</v>
      </c>
      <c r="J20" s="71"/>
      <c r="K20" s="17" t="s">
        <v>36</v>
      </c>
      <c r="L20" s="17"/>
      <c r="M20" s="41">
        <v>3.75</v>
      </c>
      <c r="N20" s="41"/>
      <c r="O20" s="38" t="s">
        <v>210</v>
      </c>
      <c r="P20" s="56" t="s">
        <v>218</v>
      </c>
      <c r="Q20" s="62">
        <f>$M$20*C20</f>
        <v>7.5</v>
      </c>
      <c r="R20" s="62"/>
      <c r="S20" s="62">
        <f t="shared" ref="R20:W20" si="5">$M$20*E20</f>
        <v>7.5</v>
      </c>
      <c r="T20" s="62"/>
      <c r="U20" s="62">
        <f t="shared" si="5"/>
        <v>7.5</v>
      </c>
      <c r="V20" s="62"/>
      <c r="W20" s="62">
        <f t="shared" si="5"/>
        <v>7.5</v>
      </c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</row>
    <row r="21" spans="1:42" s="12" customFormat="1" x14ac:dyDescent="0.25">
      <c r="A21" s="13" t="s">
        <v>2</v>
      </c>
      <c r="B21" s="71"/>
      <c r="C21" s="14">
        <v>2</v>
      </c>
      <c r="D21" s="71"/>
      <c r="E21" s="14">
        <v>2</v>
      </c>
      <c r="F21" s="71"/>
      <c r="G21" s="14">
        <v>2</v>
      </c>
      <c r="H21" s="71"/>
      <c r="I21" s="14">
        <v>2</v>
      </c>
      <c r="J21" s="71"/>
      <c r="K21" s="14" t="s">
        <v>38</v>
      </c>
      <c r="L21" s="14" t="s">
        <v>39</v>
      </c>
      <c r="M21" s="40">
        <v>14</v>
      </c>
      <c r="N21" s="40"/>
      <c r="O21" s="15" t="s">
        <v>37</v>
      </c>
      <c r="P21" s="55" t="s">
        <v>218</v>
      </c>
      <c r="Q21" s="49">
        <f>$M$21*C21</f>
        <v>28</v>
      </c>
      <c r="R21" s="49"/>
      <c r="S21" s="49">
        <f t="shared" ref="R21:W21" si="6">$M$21*E21</f>
        <v>28</v>
      </c>
      <c r="T21" s="49"/>
      <c r="U21" s="49">
        <f t="shared" si="6"/>
        <v>28</v>
      </c>
      <c r="V21" s="49"/>
      <c r="W21" s="49">
        <f t="shared" si="6"/>
        <v>28</v>
      </c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</row>
    <row r="22" spans="1:42" s="12" customFormat="1" x14ac:dyDescent="0.25">
      <c r="A22" s="16" t="s">
        <v>3</v>
      </c>
      <c r="B22" s="71"/>
      <c r="C22" s="17" t="s">
        <v>4</v>
      </c>
      <c r="D22" s="71"/>
      <c r="E22" s="17" t="s">
        <v>4</v>
      </c>
      <c r="F22" s="71"/>
      <c r="G22" s="17" t="s">
        <v>4</v>
      </c>
      <c r="H22" s="71"/>
      <c r="I22" s="17" t="s">
        <v>4</v>
      </c>
      <c r="J22" s="71"/>
      <c r="K22" s="17" t="s">
        <v>41</v>
      </c>
      <c r="L22" s="17"/>
      <c r="M22" s="41">
        <v>4.75</v>
      </c>
      <c r="N22" s="41"/>
      <c r="O22" s="18" t="s">
        <v>40</v>
      </c>
      <c r="P22" s="56" t="s">
        <v>218</v>
      </c>
      <c r="Q22" s="63"/>
      <c r="R22" s="63"/>
      <c r="S22" s="63"/>
      <c r="T22" s="63"/>
      <c r="U22" s="63"/>
      <c r="V22" s="63"/>
      <c r="W22" s="63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</row>
    <row r="23" spans="1:42" s="12" customFormat="1" x14ac:dyDescent="0.25">
      <c r="A23" s="13" t="s">
        <v>5</v>
      </c>
      <c r="B23" s="71"/>
      <c r="C23" s="14">
        <v>1</v>
      </c>
      <c r="D23" s="71"/>
      <c r="E23" s="14">
        <v>1</v>
      </c>
      <c r="F23" s="71"/>
      <c r="G23" s="14">
        <v>1</v>
      </c>
      <c r="H23" s="71"/>
      <c r="I23" s="14">
        <v>1</v>
      </c>
      <c r="J23" s="71"/>
      <c r="K23" s="14" t="s">
        <v>44</v>
      </c>
      <c r="L23" s="14"/>
      <c r="M23" s="40">
        <v>2.5</v>
      </c>
      <c r="N23" s="40"/>
      <c r="O23" s="15" t="s">
        <v>43</v>
      </c>
      <c r="P23" s="55" t="s">
        <v>218</v>
      </c>
      <c r="Q23" s="49">
        <f>$M$23*C23</f>
        <v>2.5</v>
      </c>
      <c r="R23" s="49"/>
      <c r="S23" s="49">
        <f t="shared" ref="R23:W23" si="7">$M$23*E23</f>
        <v>2.5</v>
      </c>
      <c r="T23" s="49"/>
      <c r="U23" s="49">
        <f t="shared" si="7"/>
        <v>2.5</v>
      </c>
      <c r="V23" s="49"/>
      <c r="W23" s="49">
        <f t="shared" si="7"/>
        <v>2.5</v>
      </c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</row>
    <row r="24" spans="1:42" s="12" customFormat="1" x14ac:dyDescent="0.25">
      <c r="A24" s="16" t="s">
        <v>6</v>
      </c>
      <c r="B24" s="71"/>
      <c r="C24" s="17">
        <v>2</v>
      </c>
      <c r="D24" s="71"/>
      <c r="E24" s="17">
        <v>2</v>
      </c>
      <c r="F24" s="71"/>
      <c r="G24" s="17">
        <v>2</v>
      </c>
      <c r="H24" s="71"/>
      <c r="I24" s="17">
        <v>2</v>
      </c>
      <c r="J24" s="71"/>
      <c r="K24" s="17" t="s">
        <v>153</v>
      </c>
      <c r="L24" s="17"/>
      <c r="M24" s="41">
        <v>2</v>
      </c>
      <c r="N24" s="41"/>
      <c r="O24" s="38" t="s">
        <v>211</v>
      </c>
      <c r="P24" s="56" t="s">
        <v>218</v>
      </c>
      <c r="Q24" s="62">
        <f>$M$24*C24</f>
        <v>4</v>
      </c>
      <c r="R24" s="62"/>
      <c r="S24" s="62">
        <f t="shared" ref="R24:W24" si="8">$M$24*E24</f>
        <v>4</v>
      </c>
      <c r="T24" s="62"/>
      <c r="U24" s="62">
        <f t="shared" si="8"/>
        <v>4</v>
      </c>
      <c r="V24" s="62"/>
      <c r="W24" s="62">
        <f t="shared" si="8"/>
        <v>4</v>
      </c>
      <c r="X24" s="64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</row>
    <row r="25" spans="1:42" s="12" customFormat="1" x14ac:dyDescent="0.25">
      <c r="A25" s="13" t="s">
        <v>7</v>
      </c>
      <c r="B25" s="71"/>
      <c r="C25" s="14">
        <v>1</v>
      </c>
      <c r="D25" s="71"/>
      <c r="E25" s="14">
        <v>1</v>
      </c>
      <c r="F25" s="71"/>
      <c r="G25" s="14">
        <v>1</v>
      </c>
      <c r="H25" s="71"/>
      <c r="I25" s="14">
        <v>1</v>
      </c>
      <c r="J25" s="71"/>
      <c r="K25" s="14" t="s">
        <v>154</v>
      </c>
      <c r="L25" s="14"/>
      <c r="M25" s="40">
        <v>2.5</v>
      </c>
      <c r="N25" s="40"/>
      <c r="O25" s="15" t="s">
        <v>45</v>
      </c>
      <c r="P25" s="55" t="s">
        <v>218</v>
      </c>
      <c r="Q25" s="49">
        <f>$M$25*C25</f>
        <v>2.5</v>
      </c>
      <c r="R25" s="49"/>
      <c r="S25" s="49">
        <f t="shared" ref="R25:W25" si="9">$M$25*E25</f>
        <v>2.5</v>
      </c>
      <c r="T25" s="49"/>
      <c r="U25" s="49">
        <f t="shared" si="9"/>
        <v>2.5</v>
      </c>
      <c r="V25" s="49"/>
      <c r="W25" s="49">
        <f t="shared" si="9"/>
        <v>2.5</v>
      </c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</row>
    <row r="26" spans="1:42" s="12" customFormat="1" x14ac:dyDescent="0.25">
      <c r="A26" s="16" t="s">
        <v>9</v>
      </c>
      <c r="B26" s="71"/>
      <c r="C26" s="17">
        <v>1</v>
      </c>
      <c r="D26" s="71"/>
      <c r="E26" s="17">
        <v>1</v>
      </c>
      <c r="F26" s="71"/>
      <c r="G26" s="17">
        <v>1</v>
      </c>
      <c r="H26" s="71"/>
      <c r="I26" s="17">
        <v>1</v>
      </c>
      <c r="J26" s="71"/>
      <c r="K26" s="17"/>
      <c r="L26" s="17" t="s">
        <v>59</v>
      </c>
      <c r="M26" s="41">
        <v>1.4</v>
      </c>
      <c r="N26" s="41"/>
      <c r="O26" s="18" t="s">
        <v>58</v>
      </c>
      <c r="P26" s="56" t="s">
        <v>218</v>
      </c>
      <c r="Q26" s="62">
        <f>$M$26*C26</f>
        <v>1.4</v>
      </c>
      <c r="R26" s="62"/>
      <c r="S26" s="62">
        <f t="shared" ref="R26:W26" si="10">$M$26*E26</f>
        <v>1.4</v>
      </c>
      <c r="T26" s="62"/>
      <c r="U26" s="62">
        <f t="shared" si="10"/>
        <v>1.4</v>
      </c>
      <c r="V26" s="62"/>
      <c r="W26" s="62">
        <f t="shared" si="10"/>
        <v>1.4</v>
      </c>
      <c r="X26" s="64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</row>
    <row r="27" spans="1:42" s="12" customFormat="1" x14ac:dyDescent="0.25">
      <c r="A27" s="13" t="s">
        <v>77</v>
      </c>
      <c r="B27" s="71"/>
      <c r="C27" s="14">
        <v>1</v>
      </c>
      <c r="D27" s="71"/>
      <c r="E27" s="14">
        <v>1</v>
      </c>
      <c r="F27" s="71"/>
      <c r="G27" s="14">
        <v>1</v>
      </c>
      <c r="H27" s="71"/>
      <c r="I27" s="14">
        <v>1</v>
      </c>
      <c r="J27" s="71"/>
      <c r="K27" s="14" t="s">
        <v>61</v>
      </c>
      <c r="L27" s="14" t="s">
        <v>62</v>
      </c>
      <c r="M27" s="40">
        <v>1.5</v>
      </c>
      <c r="N27" s="40"/>
      <c r="O27" s="15" t="s">
        <v>60</v>
      </c>
      <c r="P27" s="55" t="s">
        <v>218</v>
      </c>
      <c r="Q27" s="49">
        <f>$M$27*C27</f>
        <v>1.5</v>
      </c>
      <c r="R27" s="49"/>
      <c r="S27" s="49">
        <f t="shared" ref="R27:W27" si="11">$M$27*E27</f>
        <v>1.5</v>
      </c>
      <c r="T27" s="49"/>
      <c r="U27" s="49">
        <f t="shared" si="11"/>
        <v>1.5</v>
      </c>
      <c r="V27" s="49"/>
      <c r="W27" s="49">
        <f t="shared" si="11"/>
        <v>1.5</v>
      </c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</row>
    <row r="28" spans="1:42" s="12" customFormat="1" x14ac:dyDescent="0.25">
      <c r="A28" s="16" t="s">
        <v>11</v>
      </c>
      <c r="B28" s="71"/>
      <c r="C28" s="17">
        <v>2</v>
      </c>
      <c r="D28" s="71"/>
      <c r="E28" s="17">
        <v>2</v>
      </c>
      <c r="F28" s="71"/>
      <c r="G28" s="17">
        <v>2</v>
      </c>
      <c r="H28" s="71"/>
      <c r="I28" s="17">
        <v>2</v>
      </c>
      <c r="J28" s="71"/>
      <c r="K28" s="17" t="s">
        <v>68</v>
      </c>
      <c r="L28" s="17" t="s">
        <v>182</v>
      </c>
      <c r="M28" s="41"/>
      <c r="N28" s="41"/>
      <c r="O28" s="18"/>
      <c r="P28" s="56" t="s">
        <v>218</v>
      </c>
      <c r="Q28" s="62">
        <f>$M$28*C28</f>
        <v>0</v>
      </c>
      <c r="R28" s="62"/>
      <c r="S28" s="62">
        <f t="shared" ref="R28:W28" si="12">$M$28*E28</f>
        <v>0</v>
      </c>
      <c r="T28" s="62"/>
      <c r="U28" s="62">
        <f t="shared" si="12"/>
        <v>0</v>
      </c>
      <c r="V28" s="62"/>
      <c r="W28" s="62">
        <f t="shared" si="12"/>
        <v>0</v>
      </c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</row>
    <row r="29" spans="1:42" s="12" customFormat="1" x14ac:dyDescent="0.25">
      <c r="A29" s="13" t="s">
        <v>73</v>
      </c>
      <c r="B29" s="71"/>
      <c r="C29" s="14">
        <v>1</v>
      </c>
      <c r="D29" s="71"/>
      <c r="E29" s="14">
        <v>1</v>
      </c>
      <c r="F29" s="71"/>
      <c r="G29" s="14">
        <v>1</v>
      </c>
      <c r="H29" s="71"/>
      <c r="I29" s="14">
        <v>1</v>
      </c>
      <c r="J29" s="71"/>
      <c r="K29" s="14" t="s">
        <v>74</v>
      </c>
      <c r="L29" s="14" t="s">
        <v>72</v>
      </c>
      <c r="M29" s="40">
        <v>9</v>
      </c>
      <c r="N29" s="40"/>
      <c r="O29" s="15" t="s">
        <v>71</v>
      </c>
      <c r="P29" s="55" t="s">
        <v>218</v>
      </c>
      <c r="Q29" s="49">
        <f>$M$29*C29</f>
        <v>9</v>
      </c>
      <c r="R29" s="49"/>
      <c r="S29" s="49">
        <f t="shared" ref="R29:W29" si="13">$M$29*E29</f>
        <v>9</v>
      </c>
      <c r="T29" s="49"/>
      <c r="U29" s="49">
        <f t="shared" si="13"/>
        <v>9</v>
      </c>
      <c r="V29" s="49"/>
      <c r="W29" s="49">
        <f t="shared" si="13"/>
        <v>9</v>
      </c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</row>
    <row r="30" spans="1:42" s="19" customFormat="1" x14ac:dyDescent="0.25">
      <c r="A30" s="16" t="s">
        <v>12</v>
      </c>
      <c r="B30" s="71"/>
      <c r="C30" s="17">
        <v>1</v>
      </c>
      <c r="D30" s="71"/>
      <c r="E30" s="17">
        <v>1</v>
      </c>
      <c r="F30" s="71"/>
      <c r="G30" s="17">
        <v>1</v>
      </c>
      <c r="H30" s="71"/>
      <c r="I30" s="17">
        <v>1</v>
      </c>
      <c r="J30" s="71"/>
      <c r="K30" s="17"/>
      <c r="L30" s="17" t="s">
        <v>82</v>
      </c>
      <c r="M30" s="41">
        <v>2.4</v>
      </c>
      <c r="N30" s="41"/>
      <c r="O30" s="18" t="s">
        <v>81</v>
      </c>
      <c r="P30" s="56" t="s">
        <v>218</v>
      </c>
      <c r="Q30" s="62">
        <f>$M$30*C30</f>
        <v>2.4</v>
      </c>
      <c r="R30" s="62"/>
      <c r="S30" s="62">
        <f t="shared" ref="R30:W30" si="14">$M$30*E30</f>
        <v>2.4</v>
      </c>
      <c r="T30" s="62"/>
      <c r="U30" s="62">
        <f t="shared" si="14"/>
        <v>2.4</v>
      </c>
      <c r="V30" s="62"/>
      <c r="W30" s="62">
        <f t="shared" si="14"/>
        <v>2.4</v>
      </c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</row>
    <row r="31" spans="1:42" s="12" customFormat="1" x14ac:dyDescent="0.25">
      <c r="A31" s="13" t="s">
        <v>79</v>
      </c>
      <c r="B31" s="71"/>
      <c r="C31" s="14">
        <v>1</v>
      </c>
      <c r="D31" s="71"/>
      <c r="E31" s="14">
        <v>1</v>
      </c>
      <c r="F31" s="71"/>
      <c r="G31" s="14">
        <v>1</v>
      </c>
      <c r="H31" s="71"/>
      <c r="I31" s="14">
        <v>1</v>
      </c>
      <c r="J31" s="71"/>
      <c r="K31" s="14" t="s">
        <v>80</v>
      </c>
      <c r="L31" s="14" t="s">
        <v>90</v>
      </c>
      <c r="M31" s="40">
        <v>2.2000000000000002</v>
      </c>
      <c r="N31" s="40"/>
      <c r="O31" s="15" t="s">
        <v>89</v>
      </c>
      <c r="P31" s="55" t="s">
        <v>218</v>
      </c>
      <c r="Q31" s="49">
        <f>$M$31*C31</f>
        <v>2.2000000000000002</v>
      </c>
      <c r="R31" s="49"/>
      <c r="S31" s="49">
        <f t="shared" ref="R31:W31" si="15">$M$31*E31</f>
        <v>2.2000000000000002</v>
      </c>
      <c r="T31" s="49"/>
      <c r="U31" s="49">
        <f t="shared" si="15"/>
        <v>2.2000000000000002</v>
      </c>
      <c r="V31" s="49"/>
      <c r="W31" s="49">
        <f t="shared" si="15"/>
        <v>2.2000000000000002</v>
      </c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</row>
    <row r="32" spans="1:42" s="19" customFormat="1" x14ac:dyDescent="0.25">
      <c r="A32" s="16" t="s">
        <v>114</v>
      </c>
      <c r="B32" s="71"/>
      <c r="C32" s="17">
        <v>1</v>
      </c>
      <c r="D32" s="71"/>
      <c r="E32" s="17">
        <v>1</v>
      </c>
      <c r="F32" s="71"/>
      <c r="G32" s="17">
        <v>1</v>
      </c>
      <c r="H32" s="71"/>
      <c r="I32" s="17">
        <v>1</v>
      </c>
      <c r="J32" s="71"/>
      <c r="K32" s="17" t="s">
        <v>86</v>
      </c>
      <c r="L32" s="17"/>
      <c r="M32" s="41">
        <v>2</v>
      </c>
      <c r="N32" s="41"/>
      <c r="O32" s="18" t="s">
        <v>181</v>
      </c>
      <c r="P32" s="56" t="s">
        <v>218</v>
      </c>
      <c r="Q32" s="62">
        <f>$M$32*C32</f>
        <v>2</v>
      </c>
      <c r="R32" s="62"/>
      <c r="S32" s="62">
        <f t="shared" ref="R32:W32" si="16">$M$32*E32</f>
        <v>2</v>
      </c>
      <c r="T32" s="62"/>
      <c r="U32" s="62">
        <f t="shared" si="16"/>
        <v>2</v>
      </c>
      <c r="V32" s="62"/>
      <c r="W32" s="62">
        <f t="shared" si="16"/>
        <v>2</v>
      </c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</row>
    <row r="33" spans="1:42" s="12" customFormat="1" x14ac:dyDescent="0.25">
      <c r="A33" s="13" t="s">
        <v>91</v>
      </c>
      <c r="B33" s="71"/>
      <c r="C33" s="14">
        <v>1</v>
      </c>
      <c r="D33" s="71"/>
      <c r="E33" s="14">
        <v>3</v>
      </c>
      <c r="F33" s="71"/>
      <c r="G33" s="14">
        <v>3</v>
      </c>
      <c r="H33" s="71"/>
      <c r="I33" s="14">
        <v>3</v>
      </c>
      <c r="J33" s="71"/>
      <c r="K33" s="14" t="s">
        <v>92</v>
      </c>
      <c r="L33" s="14"/>
      <c r="M33" s="40">
        <v>1.5</v>
      </c>
      <c r="N33" s="40"/>
      <c r="O33" s="15" t="s">
        <v>95</v>
      </c>
      <c r="P33" s="55" t="s">
        <v>218</v>
      </c>
      <c r="Q33" s="49">
        <f>$M$33*C33</f>
        <v>1.5</v>
      </c>
      <c r="R33" s="49"/>
      <c r="S33" s="49">
        <f t="shared" ref="R33:W33" si="17">$M$33*E33</f>
        <v>4.5</v>
      </c>
      <c r="T33" s="49"/>
      <c r="U33" s="49">
        <f t="shared" si="17"/>
        <v>4.5</v>
      </c>
      <c r="V33" s="49"/>
      <c r="W33" s="49">
        <f t="shared" si="17"/>
        <v>4.5</v>
      </c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</row>
    <row r="34" spans="1:42" s="19" customFormat="1" x14ac:dyDescent="0.25">
      <c r="A34" s="16" t="s">
        <v>93</v>
      </c>
      <c r="B34" s="71"/>
      <c r="C34" s="17">
        <v>1</v>
      </c>
      <c r="D34" s="71"/>
      <c r="E34" s="17">
        <v>1</v>
      </c>
      <c r="F34" s="71"/>
      <c r="G34" s="17">
        <v>2</v>
      </c>
      <c r="H34" s="71"/>
      <c r="I34" s="17">
        <v>2</v>
      </c>
      <c r="J34" s="71"/>
      <c r="K34" s="17" t="s">
        <v>16</v>
      </c>
      <c r="L34" s="17"/>
      <c r="M34" s="41">
        <v>2.75</v>
      </c>
      <c r="N34" s="41"/>
      <c r="O34" s="18" t="s">
        <v>96</v>
      </c>
      <c r="P34" s="56" t="s">
        <v>218</v>
      </c>
      <c r="Q34" s="62">
        <f>$M$34*C34</f>
        <v>2.75</v>
      </c>
      <c r="R34" s="62"/>
      <c r="S34" s="62">
        <f t="shared" ref="R34:W34" si="18">$M$34*E34</f>
        <v>2.75</v>
      </c>
      <c r="T34" s="62"/>
      <c r="U34" s="62">
        <f t="shared" si="18"/>
        <v>5.5</v>
      </c>
      <c r="V34" s="62"/>
      <c r="W34" s="62">
        <f t="shared" si="18"/>
        <v>5.5</v>
      </c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</row>
    <row r="35" spans="1:42" s="12" customFormat="1" x14ac:dyDescent="0.25">
      <c r="A35" s="13" t="s">
        <v>17</v>
      </c>
      <c r="B35" s="71"/>
      <c r="C35" s="14">
        <v>3</v>
      </c>
      <c r="D35" s="71"/>
      <c r="E35" s="14">
        <v>3</v>
      </c>
      <c r="F35" s="71"/>
      <c r="G35" s="14">
        <v>3</v>
      </c>
      <c r="H35" s="71"/>
      <c r="I35" s="14">
        <v>3</v>
      </c>
      <c r="J35" s="71"/>
      <c r="K35" s="14" t="s">
        <v>101</v>
      </c>
      <c r="L35" s="14" t="s">
        <v>100</v>
      </c>
      <c r="M35" s="40">
        <v>5</v>
      </c>
      <c r="N35" s="40"/>
      <c r="O35" s="15" t="s">
        <v>42</v>
      </c>
      <c r="P35" s="55" t="s">
        <v>218</v>
      </c>
      <c r="Q35" s="49">
        <f>$M$35*C35</f>
        <v>15</v>
      </c>
      <c r="R35" s="49"/>
      <c r="S35" s="49">
        <f t="shared" ref="R35:W35" si="19">$M$35*E35</f>
        <v>15</v>
      </c>
      <c r="T35" s="49"/>
      <c r="U35" s="49">
        <f t="shared" si="19"/>
        <v>15</v>
      </c>
      <c r="V35" s="49"/>
      <c r="W35" s="49">
        <f t="shared" si="19"/>
        <v>15</v>
      </c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</row>
    <row r="36" spans="1:42" s="19" customFormat="1" x14ac:dyDescent="0.25">
      <c r="A36" s="16" t="s">
        <v>94</v>
      </c>
      <c r="B36" s="71"/>
      <c r="C36" s="17">
        <v>1</v>
      </c>
      <c r="D36" s="71"/>
      <c r="E36" s="17">
        <v>1</v>
      </c>
      <c r="F36" s="71"/>
      <c r="G36" s="17">
        <v>1</v>
      </c>
      <c r="H36" s="71"/>
      <c r="I36" s="17">
        <v>3</v>
      </c>
      <c r="J36" s="71"/>
      <c r="K36" s="17" t="s">
        <v>98</v>
      </c>
      <c r="L36" s="17" t="s">
        <v>99</v>
      </c>
      <c r="M36" s="41">
        <v>5.5</v>
      </c>
      <c r="N36" s="41"/>
      <c r="O36" s="18" t="s">
        <v>97</v>
      </c>
      <c r="P36" s="56" t="s">
        <v>218</v>
      </c>
      <c r="Q36" s="62">
        <f>$M$36*C36</f>
        <v>5.5</v>
      </c>
      <c r="R36" s="62"/>
      <c r="S36" s="62">
        <f t="shared" ref="R36:W36" si="20">$M$36*E36</f>
        <v>5.5</v>
      </c>
      <c r="T36" s="62"/>
      <c r="U36" s="62">
        <f t="shared" si="20"/>
        <v>5.5</v>
      </c>
      <c r="V36" s="62"/>
      <c r="W36" s="62">
        <f t="shared" si="20"/>
        <v>16.5</v>
      </c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</row>
    <row r="37" spans="1:42" s="12" customFormat="1" x14ac:dyDescent="0.25">
      <c r="A37" s="20"/>
      <c r="B37" s="71"/>
      <c r="C37" s="14"/>
      <c r="D37" s="71"/>
      <c r="E37" s="14"/>
      <c r="F37" s="71"/>
      <c r="G37" s="14"/>
      <c r="H37" s="71"/>
      <c r="I37" s="14"/>
      <c r="J37" s="71"/>
      <c r="K37" s="14"/>
      <c r="L37" s="14"/>
      <c r="M37" s="40"/>
      <c r="N37" s="40"/>
      <c r="O37" s="15"/>
      <c r="P37" s="55"/>
      <c r="Q37" s="66"/>
      <c r="R37" s="66"/>
      <c r="S37" s="66"/>
      <c r="T37" s="66"/>
      <c r="U37" s="66"/>
      <c r="V37" s="66"/>
      <c r="W37" s="66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</row>
    <row r="38" spans="1:42" s="12" customFormat="1" x14ac:dyDescent="0.25">
      <c r="A38" s="10" t="s">
        <v>175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42"/>
      <c r="N38" s="42"/>
      <c r="O38" s="11"/>
      <c r="P38" s="54"/>
      <c r="Q38" s="65">
        <f>SUM(Q39:Q50)</f>
        <v>152.69</v>
      </c>
      <c r="R38" s="65"/>
      <c r="S38" s="65">
        <f t="shared" ref="S38:W38" si="21">SUM(S39:S50)</f>
        <v>201.08999999999997</v>
      </c>
      <c r="T38" s="65"/>
      <c r="U38" s="65">
        <f t="shared" si="21"/>
        <v>204.08999999999997</v>
      </c>
      <c r="V38" s="65"/>
      <c r="W38" s="65">
        <f t="shared" si="21"/>
        <v>209.69</v>
      </c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</row>
    <row r="39" spans="1:42" s="19" customFormat="1" x14ac:dyDescent="0.25">
      <c r="A39" s="21" t="s">
        <v>155</v>
      </c>
      <c r="B39" s="71"/>
      <c r="C39" s="17">
        <v>1</v>
      </c>
      <c r="D39" s="71"/>
      <c r="E39" s="17">
        <v>2</v>
      </c>
      <c r="F39" s="71"/>
      <c r="G39" s="17">
        <v>2</v>
      </c>
      <c r="H39" s="71"/>
      <c r="I39" s="17">
        <v>4</v>
      </c>
      <c r="J39" s="71"/>
      <c r="K39" s="17">
        <v>4010</v>
      </c>
      <c r="L39" s="17" t="s">
        <v>193</v>
      </c>
      <c r="M39" s="41">
        <v>2.8</v>
      </c>
      <c r="N39" s="41"/>
      <c r="O39" s="38" t="s">
        <v>212</v>
      </c>
      <c r="P39" s="56" t="s">
        <v>218</v>
      </c>
      <c r="Q39" s="62">
        <f>$M$39*C39</f>
        <v>2.8</v>
      </c>
      <c r="R39" s="62"/>
      <c r="S39" s="62">
        <f t="shared" ref="R39:W39" si="22">$M$39*E39</f>
        <v>5.6</v>
      </c>
      <c r="T39" s="62"/>
      <c r="U39" s="62">
        <f t="shared" si="22"/>
        <v>5.6</v>
      </c>
      <c r="V39" s="62"/>
      <c r="W39" s="62">
        <f t="shared" si="22"/>
        <v>11.2</v>
      </c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</row>
    <row r="40" spans="1:42" s="12" customFormat="1" x14ac:dyDescent="0.25">
      <c r="A40" s="13" t="s">
        <v>113</v>
      </c>
      <c r="B40" s="71"/>
      <c r="C40" s="14">
        <v>1</v>
      </c>
      <c r="D40" s="71"/>
      <c r="E40" s="14">
        <v>1</v>
      </c>
      <c r="F40" s="71"/>
      <c r="G40" s="14">
        <v>1</v>
      </c>
      <c r="H40" s="71"/>
      <c r="I40" s="14">
        <v>1</v>
      </c>
      <c r="J40" s="71"/>
      <c r="K40" s="14" t="s">
        <v>112</v>
      </c>
      <c r="L40" s="14" t="s">
        <v>111</v>
      </c>
      <c r="M40" s="40">
        <v>24</v>
      </c>
      <c r="N40" s="40"/>
      <c r="O40" s="15" t="s">
        <v>110</v>
      </c>
      <c r="P40" s="55" t="s">
        <v>218</v>
      </c>
      <c r="Q40" s="49">
        <f>$M$40*C40</f>
        <v>24</v>
      </c>
      <c r="R40" s="49"/>
      <c r="S40" s="49">
        <f t="shared" ref="R40:W40" si="23">$M$40*E40</f>
        <v>24</v>
      </c>
      <c r="T40" s="49"/>
      <c r="U40" s="49">
        <f t="shared" si="23"/>
        <v>24</v>
      </c>
      <c r="V40" s="49"/>
      <c r="W40" s="49">
        <f t="shared" si="23"/>
        <v>24</v>
      </c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</row>
    <row r="41" spans="1:42" s="19" customFormat="1" x14ac:dyDescent="0.25">
      <c r="A41" s="21" t="s">
        <v>15</v>
      </c>
      <c r="B41" s="71"/>
      <c r="C41" s="17">
        <v>3</v>
      </c>
      <c r="D41" s="71"/>
      <c r="E41" s="17">
        <v>3</v>
      </c>
      <c r="F41" s="71"/>
      <c r="G41" s="17">
        <v>3</v>
      </c>
      <c r="H41" s="71"/>
      <c r="I41" s="17">
        <v>3</v>
      </c>
      <c r="J41" s="71"/>
      <c r="K41" s="17" t="s">
        <v>4</v>
      </c>
      <c r="L41" s="17" t="s">
        <v>88</v>
      </c>
      <c r="M41" s="41">
        <v>7.5</v>
      </c>
      <c r="N41" s="41" t="s">
        <v>225</v>
      </c>
      <c r="O41" s="18" t="s">
        <v>87</v>
      </c>
      <c r="P41" s="56" t="s">
        <v>218</v>
      </c>
      <c r="Q41" s="62">
        <f>$M$41</f>
        <v>7.5</v>
      </c>
      <c r="R41" s="62"/>
      <c r="S41" s="62">
        <f>$M$41</f>
        <v>7.5</v>
      </c>
      <c r="T41" s="62"/>
      <c r="U41" s="62">
        <f>$M$41</f>
        <v>7.5</v>
      </c>
      <c r="V41" s="62"/>
      <c r="W41" s="62">
        <f>$M$41</f>
        <v>7.5</v>
      </c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</row>
    <row r="42" spans="1:42" s="12" customFormat="1" x14ac:dyDescent="0.25">
      <c r="A42" s="13" t="s">
        <v>13</v>
      </c>
      <c r="B42" s="71"/>
      <c r="C42" s="14">
        <v>2</v>
      </c>
      <c r="D42" s="71"/>
      <c r="E42" s="14">
        <v>2</v>
      </c>
      <c r="F42" s="71"/>
      <c r="G42" s="14">
        <v>2</v>
      </c>
      <c r="H42" s="71"/>
      <c r="I42" s="14">
        <v>2</v>
      </c>
      <c r="J42" s="71"/>
      <c r="K42" s="14" t="s">
        <v>4</v>
      </c>
      <c r="L42" s="14" t="s">
        <v>83</v>
      </c>
      <c r="M42" s="40">
        <v>2.7</v>
      </c>
      <c r="N42" s="40"/>
      <c r="O42" s="37" t="s">
        <v>213</v>
      </c>
      <c r="P42" s="55" t="s">
        <v>218</v>
      </c>
      <c r="Q42" s="49">
        <f>$M$42*C42</f>
        <v>5.4</v>
      </c>
      <c r="R42" s="49"/>
      <c r="S42" s="49">
        <f t="shared" ref="R42:W42" si="24">$M$42*E42</f>
        <v>5.4</v>
      </c>
      <c r="T42" s="49"/>
      <c r="U42" s="49">
        <f t="shared" si="24"/>
        <v>5.4</v>
      </c>
      <c r="V42" s="49"/>
      <c r="W42" s="49">
        <f t="shared" si="24"/>
        <v>5.4</v>
      </c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</row>
    <row r="43" spans="1:42" s="19" customFormat="1" x14ac:dyDescent="0.25">
      <c r="A43" s="21" t="s">
        <v>47</v>
      </c>
      <c r="B43" s="71"/>
      <c r="C43" s="17">
        <v>2</v>
      </c>
      <c r="D43" s="71"/>
      <c r="E43" s="17">
        <v>2</v>
      </c>
      <c r="F43" s="71"/>
      <c r="G43" s="17">
        <v>2</v>
      </c>
      <c r="H43" s="71"/>
      <c r="I43" s="17">
        <v>2</v>
      </c>
      <c r="J43" s="71"/>
      <c r="K43" s="17" t="s">
        <v>48</v>
      </c>
      <c r="L43" s="17" t="s">
        <v>50</v>
      </c>
      <c r="M43" s="41">
        <v>0.5</v>
      </c>
      <c r="N43" s="41" t="s">
        <v>214</v>
      </c>
      <c r="O43" s="18" t="s">
        <v>46</v>
      </c>
      <c r="P43" s="56" t="s">
        <v>218</v>
      </c>
      <c r="Q43" s="62">
        <f>$M$43*C43</f>
        <v>1</v>
      </c>
      <c r="R43" s="62"/>
      <c r="S43" s="62">
        <f t="shared" ref="R43:W43" si="25">$M$43*E43</f>
        <v>1</v>
      </c>
      <c r="T43" s="62"/>
      <c r="U43" s="62">
        <f t="shared" si="25"/>
        <v>1</v>
      </c>
      <c r="V43" s="62"/>
      <c r="W43" s="62">
        <f t="shared" si="25"/>
        <v>1</v>
      </c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</row>
    <row r="44" spans="1:42" s="12" customFormat="1" x14ac:dyDescent="0.25">
      <c r="A44" s="13" t="s">
        <v>49</v>
      </c>
      <c r="B44" s="71"/>
      <c r="C44" s="14">
        <v>4</v>
      </c>
      <c r="D44" s="71"/>
      <c r="E44" s="14">
        <v>4</v>
      </c>
      <c r="F44" s="71"/>
      <c r="G44" s="14">
        <v>4</v>
      </c>
      <c r="H44" s="71"/>
      <c r="I44" s="14">
        <v>4</v>
      </c>
      <c r="J44" s="71"/>
      <c r="K44" s="14" t="s">
        <v>52</v>
      </c>
      <c r="L44" s="14" t="s">
        <v>51</v>
      </c>
      <c r="M44" s="40">
        <v>0.5</v>
      </c>
      <c r="N44" s="40" t="s">
        <v>214</v>
      </c>
      <c r="O44" s="15" t="s">
        <v>46</v>
      </c>
      <c r="P44" s="55" t="s">
        <v>218</v>
      </c>
      <c r="Q44" s="49">
        <f>$M$44*C44</f>
        <v>2</v>
      </c>
      <c r="R44" s="49"/>
      <c r="S44" s="49">
        <f t="shared" ref="R44:W44" si="26">$M$44*E44</f>
        <v>2</v>
      </c>
      <c r="T44" s="49"/>
      <c r="U44" s="49">
        <f t="shared" si="26"/>
        <v>2</v>
      </c>
      <c r="V44" s="49"/>
      <c r="W44" s="49">
        <f t="shared" si="26"/>
        <v>2</v>
      </c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</row>
    <row r="45" spans="1:42" s="19" customFormat="1" x14ac:dyDescent="0.25">
      <c r="A45" s="21" t="s">
        <v>150</v>
      </c>
      <c r="B45" s="71"/>
      <c r="C45" s="17">
        <v>1</v>
      </c>
      <c r="D45" s="71"/>
      <c r="E45" s="17">
        <v>1</v>
      </c>
      <c r="F45" s="71"/>
      <c r="G45" s="17">
        <v>1</v>
      </c>
      <c r="H45" s="71"/>
      <c r="I45" s="17">
        <v>1</v>
      </c>
      <c r="J45" s="71"/>
      <c r="K45" s="17" t="s">
        <v>151</v>
      </c>
      <c r="L45" s="17"/>
      <c r="M45" s="41">
        <v>2.99</v>
      </c>
      <c r="N45" s="41"/>
      <c r="O45" s="18" t="s">
        <v>152</v>
      </c>
      <c r="P45" s="56" t="s">
        <v>218</v>
      </c>
      <c r="Q45" s="62">
        <f>$M$45*C45</f>
        <v>2.99</v>
      </c>
      <c r="R45" s="62"/>
      <c r="S45" s="62">
        <f t="shared" ref="R45:W45" si="27">$M$45*E45</f>
        <v>2.99</v>
      </c>
      <c r="T45" s="62"/>
      <c r="U45" s="62">
        <f t="shared" si="27"/>
        <v>2.99</v>
      </c>
      <c r="V45" s="62"/>
      <c r="W45" s="62">
        <f t="shared" si="27"/>
        <v>2.99</v>
      </c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</row>
    <row r="46" spans="1:42" s="12" customFormat="1" x14ac:dyDescent="0.25">
      <c r="A46" s="13" t="s">
        <v>156</v>
      </c>
      <c r="B46" s="71"/>
      <c r="C46" s="14" t="s">
        <v>158</v>
      </c>
      <c r="D46" s="71"/>
      <c r="E46" s="14" t="s">
        <v>158</v>
      </c>
      <c r="F46" s="71"/>
      <c r="G46" s="14" t="s">
        <v>158</v>
      </c>
      <c r="H46" s="71"/>
      <c r="I46" s="14" t="s">
        <v>158</v>
      </c>
      <c r="J46" s="71"/>
      <c r="K46" s="14" t="s">
        <v>157</v>
      </c>
      <c r="L46" s="14" t="s">
        <v>159</v>
      </c>
      <c r="M46" s="40">
        <v>9</v>
      </c>
      <c r="N46" s="40"/>
      <c r="O46" s="15" t="s">
        <v>215</v>
      </c>
      <c r="P46" s="55" t="s">
        <v>218</v>
      </c>
      <c r="Q46" s="49">
        <f>$M$46</f>
        <v>9</v>
      </c>
      <c r="R46" s="49"/>
      <c r="S46" s="49">
        <f t="shared" ref="S46:W46" si="28">$M$46</f>
        <v>9</v>
      </c>
      <c r="T46" s="49"/>
      <c r="U46" s="49">
        <f t="shared" si="28"/>
        <v>9</v>
      </c>
      <c r="V46" s="49"/>
      <c r="W46" s="49">
        <f t="shared" si="28"/>
        <v>9</v>
      </c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</row>
    <row r="47" spans="1:42" s="19" customFormat="1" x14ac:dyDescent="0.25">
      <c r="A47" s="21" t="s">
        <v>160</v>
      </c>
      <c r="B47" s="71"/>
      <c r="C47" s="17">
        <v>1</v>
      </c>
      <c r="D47" s="71"/>
      <c r="E47" s="17">
        <v>1</v>
      </c>
      <c r="F47" s="71"/>
      <c r="G47" s="17">
        <v>1</v>
      </c>
      <c r="H47" s="71"/>
      <c r="I47" s="17">
        <v>1</v>
      </c>
      <c r="J47" s="71"/>
      <c r="K47" s="17" t="s">
        <v>161</v>
      </c>
      <c r="L47" s="17"/>
      <c r="M47" s="41">
        <v>1.8</v>
      </c>
      <c r="N47" s="41"/>
      <c r="O47" s="38" t="s">
        <v>216</v>
      </c>
      <c r="P47" s="56" t="s">
        <v>218</v>
      </c>
      <c r="Q47" s="62">
        <f>$M$47*C47</f>
        <v>1.8</v>
      </c>
      <c r="R47" s="62"/>
      <c r="S47" s="62">
        <f t="shared" ref="R47:W47" si="29">$M$47*E47</f>
        <v>1.8</v>
      </c>
      <c r="T47" s="62"/>
      <c r="U47" s="62">
        <f t="shared" si="29"/>
        <v>1.8</v>
      </c>
      <c r="V47" s="62"/>
      <c r="W47" s="62">
        <f t="shared" si="29"/>
        <v>1.8</v>
      </c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</row>
    <row r="48" spans="1:42" s="12" customFormat="1" x14ac:dyDescent="0.25">
      <c r="A48" s="13" t="s">
        <v>176</v>
      </c>
      <c r="B48" s="71"/>
      <c r="C48" s="14">
        <v>12</v>
      </c>
      <c r="D48" s="71"/>
      <c r="E48" s="14">
        <v>18</v>
      </c>
      <c r="F48" s="71"/>
      <c r="G48" s="14">
        <v>18</v>
      </c>
      <c r="H48" s="71"/>
      <c r="I48" s="14">
        <v>18</v>
      </c>
      <c r="J48" s="71"/>
      <c r="K48" s="14" t="s">
        <v>177</v>
      </c>
      <c r="L48" s="14"/>
      <c r="M48" s="40">
        <v>7.6</v>
      </c>
      <c r="N48" s="40" t="s">
        <v>214</v>
      </c>
      <c r="O48" s="15" t="s">
        <v>178</v>
      </c>
      <c r="P48" s="55" t="s">
        <v>218</v>
      </c>
      <c r="Q48" s="49">
        <f>$M$48*C48</f>
        <v>91.199999999999989</v>
      </c>
      <c r="R48" s="49"/>
      <c r="S48" s="49">
        <f t="shared" ref="R48:W48" si="30">$M$48*E48</f>
        <v>136.79999999999998</v>
      </c>
      <c r="T48" s="49"/>
      <c r="U48" s="49">
        <f t="shared" si="30"/>
        <v>136.79999999999998</v>
      </c>
      <c r="V48" s="49"/>
      <c r="W48" s="49">
        <f t="shared" si="30"/>
        <v>136.79999999999998</v>
      </c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</row>
    <row r="49" spans="1:42" s="12" customFormat="1" x14ac:dyDescent="0.25">
      <c r="A49" s="16" t="s">
        <v>8</v>
      </c>
      <c r="B49" s="71"/>
      <c r="C49" s="17">
        <v>1</v>
      </c>
      <c r="D49" s="71"/>
      <c r="E49" s="17">
        <v>1</v>
      </c>
      <c r="F49" s="71"/>
      <c r="G49" s="17">
        <v>2</v>
      </c>
      <c r="H49" s="71"/>
      <c r="I49" s="17">
        <v>2</v>
      </c>
      <c r="J49" s="71"/>
      <c r="K49" s="17" t="s">
        <v>54</v>
      </c>
      <c r="L49" s="17" t="s">
        <v>55</v>
      </c>
      <c r="M49" s="41">
        <v>3</v>
      </c>
      <c r="N49" s="41"/>
      <c r="O49" s="18" t="s">
        <v>53</v>
      </c>
      <c r="P49" s="56" t="s">
        <v>218</v>
      </c>
      <c r="Q49" s="62">
        <f>$M$49*C49</f>
        <v>3</v>
      </c>
      <c r="R49" s="62"/>
      <c r="S49" s="62">
        <f t="shared" ref="R49:W49" si="31">$M$49*E49</f>
        <v>3</v>
      </c>
      <c r="T49" s="62"/>
      <c r="U49" s="62">
        <f t="shared" si="31"/>
        <v>6</v>
      </c>
      <c r="V49" s="62"/>
      <c r="W49" s="62">
        <f t="shared" si="31"/>
        <v>6</v>
      </c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</row>
    <row r="50" spans="1:42" s="12" customFormat="1" x14ac:dyDescent="0.25">
      <c r="A50" s="13" t="s">
        <v>75</v>
      </c>
      <c r="B50" s="71"/>
      <c r="C50" s="14">
        <v>1</v>
      </c>
      <c r="D50" s="71"/>
      <c r="E50" s="14">
        <v>1</v>
      </c>
      <c r="F50" s="71"/>
      <c r="G50" s="14">
        <v>1</v>
      </c>
      <c r="H50" s="71"/>
      <c r="I50" s="14">
        <v>1</v>
      </c>
      <c r="J50" s="71"/>
      <c r="K50" s="14" t="s">
        <v>69</v>
      </c>
      <c r="L50" s="14" t="s">
        <v>70</v>
      </c>
      <c r="M50" s="40">
        <v>2</v>
      </c>
      <c r="N50" s="40"/>
      <c r="O50" s="37" t="s">
        <v>206</v>
      </c>
      <c r="P50" s="55" t="s">
        <v>218</v>
      </c>
      <c r="Q50" s="49">
        <f>$M$50*C50</f>
        <v>2</v>
      </c>
      <c r="R50" s="49"/>
      <c r="S50" s="49">
        <f t="shared" ref="R50:W50" si="32">$M$50*E50</f>
        <v>2</v>
      </c>
      <c r="T50" s="49"/>
      <c r="U50" s="49">
        <f t="shared" si="32"/>
        <v>2</v>
      </c>
      <c r="V50" s="49"/>
      <c r="W50" s="49">
        <f t="shared" si="32"/>
        <v>2</v>
      </c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</row>
    <row r="51" spans="1:42" s="12" customFormat="1" x14ac:dyDescent="0.25">
      <c r="A51" s="20"/>
      <c r="B51" s="71"/>
      <c r="C51" s="14"/>
      <c r="D51" s="71"/>
      <c r="E51" s="14"/>
      <c r="F51" s="71"/>
      <c r="G51" s="14"/>
      <c r="H51" s="71"/>
      <c r="I51" s="14"/>
      <c r="J51" s="71"/>
      <c r="K51" s="14"/>
      <c r="L51" s="14"/>
      <c r="M51" s="40"/>
      <c r="N51" s="40"/>
      <c r="O51" s="15"/>
      <c r="P51" s="55" t="s">
        <v>218</v>
      </c>
      <c r="Q51" s="49"/>
      <c r="R51" s="49"/>
      <c r="S51" s="49"/>
      <c r="T51" s="49"/>
      <c r="U51" s="49"/>
      <c r="V51" s="49"/>
      <c r="W51" s="49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</row>
    <row r="52" spans="1:42" s="12" customFormat="1" x14ac:dyDescent="0.25">
      <c r="A52" s="10" t="s">
        <v>18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42"/>
      <c r="N52" s="42"/>
      <c r="O52" s="11"/>
      <c r="P52" s="54"/>
      <c r="Q52" s="65">
        <f>SUM(Q53:Q58)</f>
        <v>22</v>
      </c>
      <c r="R52" s="65"/>
      <c r="S52" s="65">
        <f t="shared" ref="S52:W52" si="33">SUM(S53:S58)</f>
        <v>22</v>
      </c>
      <c r="T52" s="65"/>
      <c r="U52" s="65">
        <f t="shared" si="33"/>
        <v>22</v>
      </c>
      <c r="V52" s="65"/>
      <c r="W52" s="65">
        <f t="shared" si="33"/>
        <v>22</v>
      </c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</row>
    <row r="53" spans="1:42" s="12" customFormat="1" x14ac:dyDescent="0.25">
      <c r="A53" s="20" t="s">
        <v>129</v>
      </c>
      <c r="B53" s="71"/>
      <c r="C53" s="14">
        <v>50</v>
      </c>
      <c r="D53" s="71"/>
      <c r="E53" s="14">
        <v>50</v>
      </c>
      <c r="F53" s="71"/>
      <c r="G53" s="14">
        <v>50</v>
      </c>
      <c r="H53" s="71"/>
      <c r="I53" s="14">
        <v>50</v>
      </c>
      <c r="J53" s="71"/>
      <c r="K53" s="14" t="s">
        <v>125</v>
      </c>
      <c r="L53" s="14" t="s">
        <v>109</v>
      </c>
      <c r="M53" s="40">
        <v>3</v>
      </c>
      <c r="N53" s="40"/>
      <c r="O53" s="37" t="s">
        <v>219</v>
      </c>
      <c r="P53" s="55" t="s">
        <v>218</v>
      </c>
      <c r="Q53" s="49">
        <f>$M$53</f>
        <v>3</v>
      </c>
      <c r="R53" s="49"/>
      <c r="S53" s="49">
        <f>$M$53</f>
        <v>3</v>
      </c>
      <c r="T53" s="49"/>
      <c r="U53" s="49">
        <f>$M$53</f>
        <v>3</v>
      </c>
      <c r="V53" s="49"/>
      <c r="W53" s="49">
        <f>$M$53</f>
        <v>3</v>
      </c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</row>
    <row r="54" spans="1:42" s="19" customFormat="1" x14ac:dyDescent="0.25">
      <c r="A54" s="21" t="s">
        <v>129</v>
      </c>
      <c r="B54" s="71"/>
      <c r="C54" s="17" t="s">
        <v>105</v>
      </c>
      <c r="D54" s="71"/>
      <c r="E54" s="17">
        <v>50</v>
      </c>
      <c r="F54" s="71"/>
      <c r="G54" s="17">
        <v>50</v>
      </c>
      <c r="H54" s="71"/>
      <c r="I54" s="17">
        <v>50</v>
      </c>
      <c r="J54" s="71"/>
      <c r="K54" s="17" t="s">
        <v>124</v>
      </c>
      <c r="L54" s="17" t="s">
        <v>108</v>
      </c>
      <c r="M54" s="41">
        <v>7.5</v>
      </c>
      <c r="N54" s="41"/>
      <c r="O54" s="38" t="s">
        <v>220</v>
      </c>
      <c r="P54" s="56" t="s">
        <v>218</v>
      </c>
      <c r="Q54" s="62">
        <f>$M$54</f>
        <v>7.5</v>
      </c>
      <c r="R54" s="63"/>
      <c r="S54" s="62">
        <f>$M$54</f>
        <v>7.5</v>
      </c>
      <c r="T54" s="63"/>
      <c r="U54" s="62">
        <f>$M$54</f>
        <v>7.5</v>
      </c>
      <c r="V54" s="63"/>
      <c r="W54" s="62">
        <f>$M$54</f>
        <v>7.5</v>
      </c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</row>
    <row r="55" spans="1:42" s="12" customFormat="1" x14ac:dyDescent="0.25">
      <c r="A55" s="20" t="s">
        <v>126</v>
      </c>
      <c r="B55" s="71"/>
      <c r="C55" s="14" t="s">
        <v>105</v>
      </c>
      <c r="D55" s="71"/>
      <c r="E55" s="14">
        <v>50</v>
      </c>
      <c r="F55" s="71"/>
      <c r="G55" s="14">
        <v>50</v>
      </c>
      <c r="H55" s="71"/>
      <c r="I55" s="14">
        <v>50</v>
      </c>
      <c r="J55" s="71"/>
      <c r="K55" s="14" t="s">
        <v>131</v>
      </c>
      <c r="L55" s="14" t="s">
        <v>107</v>
      </c>
      <c r="M55" s="40">
        <v>2</v>
      </c>
      <c r="N55" s="40"/>
      <c r="O55" s="15" t="s">
        <v>221</v>
      </c>
      <c r="P55" s="55" t="s">
        <v>218</v>
      </c>
      <c r="Q55" s="49">
        <f>$M$55</f>
        <v>2</v>
      </c>
      <c r="R55" s="50"/>
      <c r="S55" s="49">
        <f>$M$55</f>
        <v>2</v>
      </c>
      <c r="T55" s="50"/>
      <c r="U55" s="49">
        <f>$M$55</f>
        <v>2</v>
      </c>
      <c r="V55" s="50"/>
      <c r="W55" s="49">
        <f>$M$55</f>
        <v>2</v>
      </c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</row>
    <row r="56" spans="1:42" s="19" customFormat="1" x14ac:dyDescent="0.25">
      <c r="A56" s="21" t="s">
        <v>128</v>
      </c>
      <c r="B56" s="71"/>
      <c r="C56" s="17">
        <v>4</v>
      </c>
      <c r="D56" s="71"/>
      <c r="E56" s="17">
        <v>4</v>
      </c>
      <c r="F56" s="71"/>
      <c r="G56" s="17">
        <v>4</v>
      </c>
      <c r="H56" s="71"/>
      <c r="I56" s="17">
        <v>4</v>
      </c>
      <c r="J56" s="71"/>
      <c r="K56" s="17" t="s">
        <v>127</v>
      </c>
      <c r="L56" s="17" t="s">
        <v>119</v>
      </c>
      <c r="M56" s="41">
        <v>3.5</v>
      </c>
      <c r="N56" s="41"/>
      <c r="O56" s="18" t="s">
        <v>222</v>
      </c>
      <c r="P56" s="56" t="s">
        <v>218</v>
      </c>
      <c r="Q56" s="62">
        <f>$M$56</f>
        <v>3.5</v>
      </c>
      <c r="R56" s="62"/>
      <c r="S56" s="62">
        <f>$M$56</f>
        <v>3.5</v>
      </c>
      <c r="T56" s="62"/>
      <c r="U56" s="62">
        <f>$M$56</f>
        <v>3.5</v>
      </c>
      <c r="V56" s="62"/>
      <c r="W56" s="62">
        <f>$M$56</f>
        <v>3.5</v>
      </c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</row>
    <row r="57" spans="1:42" s="12" customFormat="1" x14ac:dyDescent="0.25">
      <c r="A57" s="20" t="s">
        <v>130</v>
      </c>
      <c r="B57" s="71"/>
      <c r="C57" s="14">
        <v>2</v>
      </c>
      <c r="D57" s="71"/>
      <c r="E57" s="14">
        <v>2</v>
      </c>
      <c r="F57" s="71"/>
      <c r="G57" s="14">
        <v>2</v>
      </c>
      <c r="H57" s="71"/>
      <c r="I57" s="14">
        <v>2</v>
      </c>
      <c r="J57" s="71"/>
      <c r="K57" s="14" t="s">
        <v>132</v>
      </c>
      <c r="L57" s="14" t="s">
        <v>120</v>
      </c>
      <c r="M57" s="40">
        <v>3</v>
      </c>
      <c r="N57" s="40"/>
      <c r="O57" s="15" t="s">
        <v>106</v>
      </c>
      <c r="P57" s="55" t="s">
        <v>218</v>
      </c>
      <c r="Q57" s="49">
        <f>$M$57</f>
        <v>3</v>
      </c>
      <c r="R57" s="49"/>
      <c r="S57" s="49">
        <f>$M$57</f>
        <v>3</v>
      </c>
      <c r="T57" s="49"/>
      <c r="U57" s="49">
        <f>$M$57</f>
        <v>3</v>
      </c>
      <c r="V57" s="49"/>
      <c r="W57" s="49">
        <f>$M$57</f>
        <v>3</v>
      </c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</row>
    <row r="58" spans="1:42" s="19" customFormat="1" x14ac:dyDescent="0.25">
      <c r="A58" s="21" t="s">
        <v>121</v>
      </c>
      <c r="B58" s="71"/>
      <c r="C58" s="17">
        <v>6</v>
      </c>
      <c r="D58" s="71"/>
      <c r="E58" s="17">
        <v>6</v>
      </c>
      <c r="F58" s="71"/>
      <c r="G58" s="17">
        <v>6</v>
      </c>
      <c r="H58" s="71"/>
      <c r="I58" s="17">
        <v>6</v>
      </c>
      <c r="J58" s="71"/>
      <c r="K58" s="17"/>
      <c r="L58" s="17" t="s">
        <v>122</v>
      </c>
      <c r="M58" s="41">
        <v>3</v>
      </c>
      <c r="N58" s="41"/>
      <c r="O58" s="18" t="s">
        <v>222</v>
      </c>
      <c r="P58" s="56" t="s">
        <v>218</v>
      </c>
      <c r="Q58" s="62">
        <f>$M$58</f>
        <v>3</v>
      </c>
      <c r="R58" s="62"/>
      <c r="S58" s="62">
        <f>$M$58</f>
        <v>3</v>
      </c>
      <c r="T58" s="62"/>
      <c r="U58" s="62">
        <f>$M$58</f>
        <v>3</v>
      </c>
      <c r="V58" s="62"/>
      <c r="W58" s="62">
        <f>$M$58</f>
        <v>3</v>
      </c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</row>
    <row r="59" spans="1:42" s="12" customFormat="1" x14ac:dyDescent="0.25">
      <c r="A59" s="20"/>
      <c r="B59" s="71"/>
      <c r="C59" s="14"/>
      <c r="D59" s="71"/>
      <c r="E59" s="14"/>
      <c r="F59" s="71"/>
      <c r="G59" s="14"/>
      <c r="H59" s="71"/>
      <c r="I59" s="14"/>
      <c r="J59" s="71"/>
      <c r="K59" s="14"/>
      <c r="L59" s="14"/>
      <c r="M59" s="40"/>
      <c r="N59" s="40"/>
      <c r="O59" s="15"/>
      <c r="P59" s="55" t="s">
        <v>218</v>
      </c>
      <c r="Q59" s="49"/>
      <c r="R59" s="49"/>
      <c r="S59" s="49"/>
      <c r="T59" s="49"/>
      <c r="U59" s="49"/>
      <c r="V59" s="49"/>
      <c r="W59" s="49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</row>
    <row r="60" spans="1:42" s="36" customFormat="1" x14ac:dyDescent="0.25">
      <c r="A60" s="34" t="s">
        <v>115</v>
      </c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43"/>
      <c r="N60" s="43"/>
      <c r="O60" s="35"/>
      <c r="P60" s="57"/>
      <c r="Q60" s="67"/>
      <c r="R60" s="67"/>
      <c r="S60" s="67"/>
      <c r="T60" s="67"/>
      <c r="U60" s="67"/>
      <c r="V60" s="67"/>
      <c r="W60" s="67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</row>
    <row r="61" spans="1:42" s="12" customFormat="1" x14ac:dyDescent="0.25">
      <c r="A61" s="20" t="s">
        <v>116</v>
      </c>
      <c r="B61" s="71"/>
      <c r="C61" s="14" t="s">
        <v>138</v>
      </c>
      <c r="D61" s="71"/>
      <c r="E61" s="14" t="s">
        <v>138</v>
      </c>
      <c r="F61" s="71"/>
      <c r="G61" s="14" t="s">
        <v>138</v>
      </c>
      <c r="H61" s="71"/>
      <c r="I61" s="14" t="s">
        <v>138</v>
      </c>
      <c r="J61" s="71"/>
      <c r="K61" s="14" t="s">
        <v>227</v>
      </c>
      <c r="L61" s="14" t="s">
        <v>223</v>
      </c>
      <c r="M61" s="40"/>
      <c r="N61" s="40"/>
      <c r="O61" s="15" t="s">
        <v>139</v>
      </c>
      <c r="P61" s="55" t="s">
        <v>218</v>
      </c>
      <c r="Q61" s="49"/>
      <c r="R61" s="49"/>
      <c r="S61" s="49"/>
      <c r="T61" s="49"/>
      <c r="U61" s="49"/>
      <c r="V61" s="49"/>
      <c r="W61" s="49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</row>
    <row r="62" spans="1:42" s="19" customFormat="1" x14ac:dyDescent="0.25">
      <c r="A62" s="21" t="s">
        <v>117</v>
      </c>
      <c r="B62" s="71"/>
      <c r="C62" s="17">
        <v>1</v>
      </c>
      <c r="D62" s="71"/>
      <c r="E62" s="17">
        <v>1</v>
      </c>
      <c r="F62" s="71"/>
      <c r="G62" s="17">
        <v>1</v>
      </c>
      <c r="H62" s="71"/>
      <c r="I62" s="17">
        <v>3</v>
      </c>
      <c r="J62" s="71"/>
      <c r="K62" s="17" t="s">
        <v>228</v>
      </c>
      <c r="L62" s="17" t="s">
        <v>223</v>
      </c>
      <c r="M62" s="41"/>
      <c r="N62" s="41"/>
      <c r="O62" s="18" t="s">
        <v>140</v>
      </c>
      <c r="P62" s="56" t="s">
        <v>218</v>
      </c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</row>
    <row r="63" spans="1:42" s="12" customFormat="1" x14ac:dyDescent="0.25">
      <c r="A63" s="20"/>
      <c r="B63" s="71"/>
      <c r="C63" s="14"/>
      <c r="D63" s="71"/>
      <c r="E63" s="14"/>
      <c r="F63" s="71"/>
      <c r="G63" s="14"/>
      <c r="H63" s="71"/>
      <c r="I63" s="14"/>
      <c r="J63" s="71"/>
      <c r="K63" s="14"/>
      <c r="L63" s="14"/>
      <c r="M63" s="40"/>
      <c r="N63" s="40"/>
      <c r="O63" s="15"/>
      <c r="P63" s="55"/>
      <c r="Q63" s="49"/>
      <c r="R63" s="49"/>
      <c r="S63" s="49"/>
      <c r="T63" s="49"/>
      <c r="U63" s="49"/>
      <c r="V63" s="49"/>
      <c r="W63" s="49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</row>
    <row r="64" spans="1:42" s="36" customFormat="1" x14ac:dyDescent="0.25">
      <c r="A64" s="34" t="s">
        <v>133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43"/>
      <c r="N64" s="43"/>
      <c r="O64" s="35"/>
      <c r="P64" s="57"/>
      <c r="Q64" s="57"/>
      <c r="R64" s="57"/>
      <c r="S64" s="57"/>
      <c r="T64" s="57"/>
      <c r="U64" s="57"/>
      <c r="V64" s="57"/>
      <c r="W64" s="57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</row>
    <row r="65" spans="1:42" s="12" customFormat="1" x14ac:dyDescent="0.25">
      <c r="A65" s="22" t="s">
        <v>0</v>
      </c>
      <c r="B65" s="71"/>
      <c r="C65" s="14">
        <v>1</v>
      </c>
      <c r="D65" s="71"/>
      <c r="E65" s="14">
        <v>1</v>
      </c>
      <c r="F65" s="71"/>
      <c r="G65" s="14">
        <v>1</v>
      </c>
      <c r="H65" s="71"/>
      <c r="I65" s="14">
        <v>1</v>
      </c>
      <c r="J65" s="71"/>
      <c r="K65" s="14"/>
      <c r="L65" s="14" t="s">
        <v>229</v>
      </c>
      <c r="M65" s="40">
        <v>39.99</v>
      </c>
      <c r="N65" s="40"/>
      <c r="O65" s="15" t="s">
        <v>103</v>
      </c>
      <c r="P65" s="55" t="s">
        <v>218</v>
      </c>
      <c r="Q65" s="49">
        <f>$M$65</f>
        <v>39.99</v>
      </c>
      <c r="R65" s="49"/>
      <c r="S65" s="49">
        <f t="shared" ref="R65:W65" si="34">$M$53</f>
        <v>3</v>
      </c>
      <c r="T65" s="49"/>
      <c r="U65" s="49">
        <f t="shared" si="34"/>
        <v>3</v>
      </c>
      <c r="V65" s="49"/>
      <c r="W65" s="49">
        <f t="shared" si="34"/>
        <v>3</v>
      </c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</row>
    <row r="66" spans="1:42" s="19" customFormat="1" x14ac:dyDescent="0.25">
      <c r="A66" s="21" t="s">
        <v>102</v>
      </c>
      <c r="B66" s="71"/>
      <c r="C66" s="17">
        <v>1</v>
      </c>
      <c r="D66" s="71"/>
      <c r="E66" s="17">
        <v>1</v>
      </c>
      <c r="F66" s="71"/>
      <c r="G66" s="17">
        <v>1</v>
      </c>
      <c r="H66" s="71"/>
      <c r="I66" s="17">
        <v>1</v>
      </c>
      <c r="J66" s="71"/>
      <c r="K66" s="17"/>
      <c r="L66" s="17" t="s">
        <v>226</v>
      </c>
      <c r="M66" s="41">
        <v>44.99</v>
      </c>
      <c r="N66" s="41"/>
      <c r="O66" s="18" t="s">
        <v>104</v>
      </c>
      <c r="P66" s="56" t="s">
        <v>218</v>
      </c>
      <c r="Q66" s="62">
        <f>$M$66</f>
        <v>44.99</v>
      </c>
      <c r="R66" s="62"/>
      <c r="S66" s="62">
        <f t="shared" ref="R66:W66" si="35">$M$66</f>
        <v>44.99</v>
      </c>
      <c r="T66" s="62"/>
      <c r="U66" s="62">
        <f t="shared" si="35"/>
        <v>44.99</v>
      </c>
      <c r="V66" s="62"/>
      <c r="W66" s="62">
        <f t="shared" si="35"/>
        <v>44.99</v>
      </c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</row>
    <row r="67" spans="1:42" s="12" customFormat="1" x14ac:dyDescent="0.25">
      <c r="A67" s="22"/>
      <c r="B67" s="71"/>
      <c r="C67" s="14"/>
      <c r="D67" s="71"/>
      <c r="E67" s="14"/>
      <c r="F67" s="71"/>
      <c r="G67" s="14"/>
      <c r="H67" s="71"/>
      <c r="I67" s="14"/>
      <c r="J67" s="71"/>
      <c r="K67" s="14"/>
      <c r="L67" s="14"/>
      <c r="M67" s="40"/>
      <c r="N67" s="40"/>
      <c r="O67" s="15"/>
      <c r="P67" s="55"/>
      <c r="Q67" s="49"/>
      <c r="R67" s="49"/>
      <c r="S67" s="49"/>
      <c r="T67" s="49"/>
      <c r="U67" s="49"/>
      <c r="V67" s="49"/>
      <c r="W67" s="49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</row>
    <row r="68" spans="1:42" s="34" customFormat="1" x14ac:dyDescent="0.25">
      <c r="A68" s="34" t="s">
        <v>201</v>
      </c>
      <c r="M68" s="43"/>
      <c r="N68" s="43"/>
      <c r="O68" s="35"/>
      <c r="P68" s="57"/>
      <c r="Q68" s="57"/>
      <c r="R68" s="57"/>
      <c r="S68" s="57"/>
      <c r="T68" s="57"/>
      <c r="U68" s="57"/>
      <c r="V68" s="57"/>
      <c r="W68" s="57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</row>
    <row r="69" spans="1:42" s="12" customFormat="1" x14ac:dyDescent="0.25">
      <c r="A69" s="20" t="s">
        <v>171</v>
      </c>
      <c r="B69" s="71"/>
      <c r="C69" s="14"/>
      <c r="D69" s="71"/>
      <c r="E69" s="14"/>
      <c r="F69" s="71"/>
      <c r="G69" s="14"/>
      <c r="H69" s="71"/>
      <c r="I69" s="14"/>
      <c r="J69" s="71"/>
      <c r="K69" s="14"/>
      <c r="L69" s="14"/>
      <c r="M69" s="40"/>
      <c r="N69" s="40"/>
      <c r="O69" s="15" t="s">
        <v>172</v>
      </c>
      <c r="P69" s="55" t="s">
        <v>218</v>
      </c>
      <c r="Q69" s="49"/>
      <c r="R69" s="49"/>
      <c r="S69" s="49"/>
      <c r="T69" s="49"/>
      <c r="U69" s="49"/>
      <c r="V69" s="49"/>
      <c r="W69" s="49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</row>
    <row r="70" spans="1:42" s="19" customFormat="1" x14ac:dyDescent="0.25">
      <c r="A70" s="21" t="s">
        <v>173</v>
      </c>
      <c r="B70" s="71"/>
      <c r="C70" s="17"/>
      <c r="D70" s="71"/>
      <c r="E70" s="17"/>
      <c r="F70" s="71"/>
      <c r="G70" s="17"/>
      <c r="H70" s="71"/>
      <c r="I70" s="17"/>
      <c r="J70" s="71"/>
      <c r="K70" s="17"/>
      <c r="L70" s="17"/>
      <c r="M70" s="41"/>
      <c r="N70" s="41"/>
      <c r="O70" s="18" t="s">
        <v>174</v>
      </c>
      <c r="P70" s="56" t="s">
        <v>218</v>
      </c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</row>
    <row r="71" spans="1:42" s="12" customFormat="1" x14ac:dyDescent="0.25">
      <c r="A71" s="20" t="s">
        <v>169</v>
      </c>
      <c r="B71" s="71"/>
      <c r="C71" s="14"/>
      <c r="D71" s="71"/>
      <c r="E71" s="14"/>
      <c r="F71" s="71"/>
      <c r="G71" s="14"/>
      <c r="H71" s="71"/>
      <c r="I71" s="14"/>
      <c r="J71" s="71"/>
      <c r="K71" s="14" t="s">
        <v>180</v>
      </c>
      <c r="L71" s="14" t="s">
        <v>179</v>
      </c>
      <c r="M71" s="40"/>
      <c r="N71" s="40"/>
      <c r="O71" s="15" t="s">
        <v>170</v>
      </c>
      <c r="P71" s="55" t="s">
        <v>218</v>
      </c>
      <c r="Q71" s="49"/>
      <c r="R71" s="49"/>
      <c r="S71" s="49"/>
      <c r="T71" s="49"/>
      <c r="U71" s="49"/>
      <c r="V71" s="49"/>
      <c r="W71" s="49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</row>
    <row r="72" spans="1:42" s="12" customFormat="1" x14ac:dyDescent="0.25">
      <c r="A72" s="72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40"/>
      <c r="N72" s="40"/>
      <c r="O72" s="15"/>
      <c r="P72" s="55"/>
      <c r="Q72" s="49"/>
      <c r="R72" s="49"/>
      <c r="S72" s="49"/>
      <c r="T72" s="49"/>
      <c r="U72" s="49"/>
      <c r="V72" s="49"/>
      <c r="W72" s="49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</row>
    <row r="73" spans="1:42" s="12" customFormat="1" x14ac:dyDescent="0.25">
      <c r="A73" s="72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40"/>
      <c r="N73" s="40"/>
      <c r="O73" s="15"/>
      <c r="P73" s="55"/>
      <c r="Q73" s="49"/>
      <c r="R73" s="49"/>
      <c r="S73" s="49"/>
      <c r="T73" s="49"/>
      <c r="U73" s="49"/>
      <c r="V73" s="49"/>
      <c r="W73" s="49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</row>
    <row r="74" spans="1:42" s="12" customFormat="1" x14ac:dyDescent="0.25">
      <c r="A74" s="72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40"/>
      <c r="N74" s="40"/>
      <c r="O74" s="15"/>
      <c r="P74" s="55"/>
      <c r="Q74" s="49"/>
      <c r="R74" s="49"/>
      <c r="S74" s="49"/>
      <c r="T74" s="49"/>
      <c r="U74" s="49"/>
      <c r="V74" s="49"/>
      <c r="W74" s="49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</row>
    <row r="75" spans="1:42" s="12" customFormat="1" x14ac:dyDescent="0.25">
      <c r="A75" s="72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40"/>
      <c r="N75" s="40"/>
      <c r="O75" s="15"/>
      <c r="P75" s="55"/>
      <c r="Q75" s="49"/>
      <c r="R75" s="49"/>
      <c r="S75" s="49"/>
      <c r="T75" s="49"/>
      <c r="U75" s="49"/>
      <c r="V75" s="49"/>
      <c r="W75" s="49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</row>
    <row r="76" spans="1:42" s="31" customFormat="1" x14ac:dyDescent="0.25">
      <c r="A76" s="29" t="s">
        <v>224</v>
      </c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44"/>
      <c r="N76" s="44"/>
      <c r="O76" s="30"/>
      <c r="P76" s="58"/>
      <c r="Q76" s="58"/>
      <c r="R76" s="58"/>
      <c r="S76" s="58"/>
      <c r="T76" s="58"/>
      <c r="U76" s="58"/>
      <c r="V76" s="58"/>
      <c r="W76" s="58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</row>
    <row r="77" spans="1:42" s="12" customFormat="1" x14ac:dyDescent="0.25">
      <c r="A77" s="20" t="s">
        <v>118</v>
      </c>
      <c r="B77" s="71"/>
      <c r="C77" s="14">
        <v>2</v>
      </c>
      <c r="D77" s="71"/>
      <c r="E77" s="14">
        <v>2</v>
      </c>
      <c r="F77" s="71"/>
      <c r="G77" s="14">
        <v>2</v>
      </c>
      <c r="H77" s="71"/>
      <c r="I77" s="14">
        <v>2</v>
      </c>
      <c r="J77" s="71"/>
      <c r="K77" s="14" t="s">
        <v>123</v>
      </c>
      <c r="L77" s="14"/>
      <c r="M77" s="40">
        <v>2</v>
      </c>
      <c r="N77" s="40"/>
      <c r="O77" s="15" t="s">
        <v>222</v>
      </c>
      <c r="P77" s="55"/>
      <c r="Q77" s="49"/>
      <c r="R77" s="49"/>
      <c r="S77" s="49"/>
      <c r="T77" s="49"/>
      <c r="U77" s="49"/>
      <c r="V77" s="49"/>
      <c r="W77" s="49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</row>
    <row r="78" spans="1:42" s="12" customFormat="1" x14ac:dyDescent="0.25">
      <c r="A78" s="20"/>
      <c r="B78" s="71"/>
      <c r="C78" s="14"/>
      <c r="D78" s="71"/>
      <c r="E78" s="14"/>
      <c r="F78" s="71"/>
      <c r="G78" s="14"/>
      <c r="H78" s="71"/>
      <c r="I78" s="14"/>
      <c r="J78" s="71"/>
      <c r="K78" s="14"/>
      <c r="L78" s="14"/>
      <c r="M78" s="40"/>
      <c r="N78" s="40"/>
      <c r="O78" s="15"/>
      <c r="P78" s="55"/>
      <c r="Q78" s="49"/>
      <c r="R78" s="49"/>
      <c r="S78" s="49"/>
      <c r="T78" s="49"/>
      <c r="U78" s="49"/>
      <c r="V78" s="49"/>
      <c r="W78" s="49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</row>
    <row r="79" spans="1:42" s="29" customFormat="1" x14ac:dyDescent="0.25">
      <c r="A79" s="29" t="s">
        <v>188</v>
      </c>
      <c r="M79" s="44"/>
      <c r="N79" s="44"/>
      <c r="O79" s="30"/>
      <c r="P79" s="58"/>
      <c r="Q79" s="58"/>
      <c r="R79" s="58"/>
      <c r="S79" s="58"/>
      <c r="T79" s="58"/>
      <c r="U79" s="58"/>
      <c r="V79" s="58"/>
      <c r="W79" s="58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</row>
    <row r="80" spans="1:42" s="12" customFormat="1" x14ac:dyDescent="0.25">
      <c r="A80" s="13" t="s">
        <v>14</v>
      </c>
      <c r="B80" s="71"/>
      <c r="C80" s="14">
        <v>1</v>
      </c>
      <c r="D80" s="71"/>
      <c r="E80" s="14">
        <v>1</v>
      </c>
      <c r="F80" s="71"/>
      <c r="G80" s="14">
        <v>1</v>
      </c>
      <c r="H80" s="71"/>
      <c r="I80" s="14">
        <v>1</v>
      </c>
      <c r="J80" s="71"/>
      <c r="K80" s="14" t="s">
        <v>85</v>
      </c>
      <c r="L80" s="14"/>
      <c r="M80" s="40">
        <v>1.6</v>
      </c>
      <c r="N80" s="40"/>
      <c r="O80" s="37" t="s">
        <v>84</v>
      </c>
      <c r="P80" s="55" t="s">
        <v>218</v>
      </c>
      <c r="Q80" s="49"/>
      <c r="R80" s="49"/>
      <c r="S80" s="49"/>
      <c r="T80" s="49"/>
      <c r="U80" s="49"/>
      <c r="V80" s="49"/>
      <c r="W80" s="49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</row>
    <row r="81" spans="1:42" s="19" customFormat="1" x14ac:dyDescent="0.25">
      <c r="A81" s="16" t="s">
        <v>10</v>
      </c>
      <c r="B81" s="71"/>
      <c r="C81" s="17">
        <v>1</v>
      </c>
      <c r="D81" s="71"/>
      <c r="E81" s="17">
        <v>1</v>
      </c>
      <c r="F81" s="71"/>
      <c r="G81" s="17">
        <v>1</v>
      </c>
      <c r="H81" s="71"/>
      <c r="I81" s="17">
        <v>1</v>
      </c>
      <c r="J81" s="71"/>
      <c r="K81" s="17"/>
      <c r="L81" s="17" t="s">
        <v>64</v>
      </c>
      <c r="M81" s="41">
        <v>1.75</v>
      </c>
      <c r="N81" s="41"/>
      <c r="O81" s="18" t="s">
        <v>205</v>
      </c>
      <c r="P81" s="56" t="s">
        <v>218</v>
      </c>
      <c r="Q81" s="49"/>
      <c r="R81" s="49"/>
      <c r="S81" s="49"/>
      <c r="T81" s="49"/>
      <c r="U81" s="49"/>
      <c r="V81" s="49"/>
      <c r="W81" s="49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</row>
    <row r="82" spans="1:42" s="12" customFormat="1" x14ac:dyDescent="0.25">
      <c r="A82" s="13" t="s">
        <v>76</v>
      </c>
      <c r="B82" s="71"/>
      <c r="C82" s="14">
        <v>1</v>
      </c>
      <c r="D82" s="71"/>
      <c r="E82" s="14">
        <v>1</v>
      </c>
      <c r="F82" s="71"/>
      <c r="G82" s="14">
        <v>1</v>
      </c>
      <c r="H82" s="71"/>
      <c r="I82" s="14">
        <v>1</v>
      </c>
      <c r="J82" s="71"/>
      <c r="K82" s="14" t="s">
        <v>66</v>
      </c>
      <c r="L82" s="14" t="s">
        <v>67</v>
      </c>
      <c r="M82" s="40">
        <v>1.95</v>
      </c>
      <c r="N82" s="40"/>
      <c r="O82" s="15" t="s">
        <v>205</v>
      </c>
      <c r="P82" s="55" t="s">
        <v>218</v>
      </c>
      <c r="Q82" s="49"/>
      <c r="R82" s="49"/>
      <c r="S82" s="49"/>
      <c r="T82" s="49"/>
      <c r="U82" s="49"/>
      <c r="V82" s="49"/>
      <c r="W82" s="49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</row>
    <row r="83" spans="1:42" s="12" customFormat="1" x14ac:dyDescent="0.25">
      <c r="A83" s="22"/>
      <c r="B83" s="71"/>
      <c r="C83" s="14"/>
      <c r="D83" s="71"/>
      <c r="E83" s="14"/>
      <c r="F83" s="71"/>
      <c r="G83" s="14"/>
      <c r="H83" s="71"/>
      <c r="I83" s="14"/>
      <c r="J83" s="71"/>
      <c r="K83" s="14"/>
      <c r="L83" s="14"/>
      <c r="M83" s="40"/>
      <c r="N83" s="40"/>
      <c r="O83" s="15"/>
      <c r="P83" s="55"/>
      <c r="Q83" s="49"/>
      <c r="R83" s="49"/>
      <c r="S83" s="49"/>
      <c r="T83" s="49"/>
      <c r="U83" s="49"/>
      <c r="V83" s="49"/>
      <c r="W83" s="49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</row>
    <row r="84" spans="1:42" s="29" customFormat="1" x14ac:dyDescent="0.25">
      <c r="A84" s="29" t="s">
        <v>187</v>
      </c>
      <c r="M84" s="44"/>
      <c r="N84" s="44"/>
      <c r="O84" s="30"/>
      <c r="P84" s="58"/>
      <c r="Q84" s="58"/>
      <c r="R84" s="58"/>
      <c r="S84" s="58"/>
      <c r="T84" s="58"/>
      <c r="U84" s="58"/>
      <c r="V84" s="58"/>
      <c r="W84" s="58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</row>
    <row r="85" spans="1:42" s="12" customFormat="1" x14ac:dyDescent="0.25">
      <c r="A85" s="22" t="s">
        <v>189</v>
      </c>
      <c r="B85" s="71"/>
      <c r="C85" s="14">
        <v>1</v>
      </c>
      <c r="D85" s="71"/>
      <c r="E85" s="14">
        <v>1</v>
      </c>
      <c r="F85" s="71"/>
      <c r="G85" s="14">
        <v>1</v>
      </c>
      <c r="H85" s="71"/>
      <c r="I85" s="14">
        <v>1</v>
      </c>
      <c r="J85" s="71"/>
      <c r="K85" s="14" t="s">
        <v>41</v>
      </c>
      <c r="L85" s="14"/>
      <c r="M85" s="40"/>
      <c r="N85" s="40"/>
      <c r="O85" s="15" t="s">
        <v>191</v>
      </c>
      <c r="P85" s="55" t="s">
        <v>218</v>
      </c>
      <c r="Q85" s="49"/>
      <c r="R85" s="49"/>
      <c r="S85" s="49"/>
      <c r="T85" s="49"/>
      <c r="U85" s="49"/>
      <c r="V85" s="49"/>
      <c r="W85" s="49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</row>
    <row r="86" spans="1:42" s="19" customFormat="1" x14ac:dyDescent="0.25">
      <c r="A86" s="16" t="s">
        <v>76</v>
      </c>
      <c r="B86" s="71"/>
      <c r="C86" s="17">
        <v>1</v>
      </c>
      <c r="D86" s="71"/>
      <c r="E86" s="17">
        <v>1</v>
      </c>
      <c r="F86" s="71"/>
      <c r="G86" s="17">
        <v>1</v>
      </c>
      <c r="H86" s="71"/>
      <c r="I86" s="17">
        <v>1</v>
      </c>
      <c r="J86" s="71"/>
      <c r="K86" s="17" t="s">
        <v>66</v>
      </c>
      <c r="L86" s="17" t="s">
        <v>67</v>
      </c>
      <c r="M86" s="41">
        <v>1.95</v>
      </c>
      <c r="N86" s="41"/>
      <c r="O86" s="18" t="s">
        <v>65</v>
      </c>
      <c r="P86" s="56" t="s">
        <v>218</v>
      </c>
      <c r="Q86" s="49"/>
      <c r="R86" s="49"/>
      <c r="S86" s="49"/>
      <c r="T86" s="49"/>
      <c r="U86" s="49"/>
      <c r="V86" s="49"/>
      <c r="W86" s="49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</row>
    <row r="87" spans="1:42" s="12" customFormat="1" x14ac:dyDescent="0.25">
      <c r="A87" s="22" t="s">
        <v>190</v>
      </c>
      <c r="B87" s="71"/>
      <c r="C87" s="14">
        <v>1</v>
      </c>
      <c r="D87" s="71"/>
      <c r="E87" s="14">
        <v>1</v>
      </c>
      <c r="F87" s="71"/>
      <c r="G87" s="14">
        <v>1</v>
      </c>
      <c r="H87" s="71"/>
      <c r="I87" s="14">
        <v>1</v>
      </c>
      <c r="J87" s="71"/>
      <c r="K87" s="14" t="s">
        <v>16</v>
      </c>
      <c r="L87" s="14"/>
      <c r="M87" s="40">
        <v>2.75</v>
      </c>
      <c r="N87" s="40"/>
      <c r="O87" s="15" t="s">
        <v>96</v>
      </c>
      <c r="P87" s="55" t="s">
        <v>218</v>
      </c>
      <c r="Q87" s="49"/>
      <c r="R87" s="49"/>
      <c r="S87" s="49"/>
      <c r="T87" s="49"/>
      <c r="U87" s="49"/>
      <c r="V87" s="49"/>
      <c r="W87" s="49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</row>
    <row r="88" spans="1:42" s="12" customFormat="1" x14ac:dyDescent="0.25">
      <c r="A88" s="16" t="s">
        <v>78</v>
      </c>
      <c r="B88" s="71"/>
      <c r="C88" s="17">
        <v>1</v>
      </c>
      <c r="D88" s="71"/>
      <c r="E88" s="17">
        <v>1</v>
      </c>
      <c r="F88" s="71"/>
      <c r="G88" s="17">
        <v>1</v>
      </c>
      <c r="H88" s="71"/>
      <c r="I88" s="17">
        <v>1</v>
      </c>
      <c r="J88" s="71"/>
      <c r="K88" s="17">
        <v>3007</v>
      </c>
      <c r="L88" s="17" t="s">
        <v>192</v>
      </c>
      <c r="M88" s="41">
        <v>3.5</v>
      </c>
      <c r="N88" s="41"/>
      <c r="O88" s="18" t="s">
        <v>63</v>
      </c>
      <c r="P88" s="56" t="s">
        <v>218</v>
      </c>
      <c r="Q88" s="49"/>
      <c r="R88" s="49"/>
      <c r="S88" s="49"/>
      <c r="T88" s="49"/>
      <c r="U88" s="49"/>
      <c r="V88" s="49"/>
      <c r="W88" s="49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</row>
    <row r="89" spans="1:42" s="12" customFormat="1" x14ac:dyDescent="0.25">
      <c r="A89" s="13" t="s">
        <v>75</v>
      </c>
      <c r="B89" s="71"/>
      <c r="C89" s="14">
        <v>1</v>
      </c>
      <c r="D89" s="71"/>
      <c r="E89" s="14">
        <v>1</v>
      </c>
      <c r="F89" s="71"/>
      <c r="G89" s="14">
        <v>1</v>
      </c>
      <c r="H89" s="71"/>
      <c r="I89" s="14">
        <v>1</v>
      </c>
      <c r="J89" s="71"/>
      <c r="K89" s="14" t="s">
        <v>69</v>
      </c>
      <c r="L89" s="14" t="s">
        <v>70</v>
      </c>
      <c r="M89" s="40">
        <v>2</v>
      </c>
      <c r="N89" s="40"/>
      <c r="O89" s="37" t="s">
        <v>206</v>
      </c>
      <c r="P89" s="55" t="s">
        <v>218</v>
      </c>
      <c r="Q89" s="49"/>
      <c r="R89" s="49"/>
      <c r="S89" s="49"/>
      <c r="T89" s="49"/>
      <c r="U89" s="49"/>
      <c r="V89" s="49"/>
      <c r="W89" s="49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</row>
    <row r="90" spans="1:42" s="12" customFormat="1" x14ac:dyDescent="0.25">
      <c r="A90" s="22"/>
      <c r="B90" s="71"/>
      <c r="C90" s="14"/>
      <c r="D90" s="71"/>
      <c r="E90" s="14"/>
      <c r="F90" s="71"/>
      <c r="G90" s="14"/>
      <c r="H90" s="71"/>
      <c r="I90" s="14"/>
      <c r="J90" s="71"/>
      <c r="K90" s="14"/>
      <c r="L90" s="14"/>
      <c r="M90" s="40"/>
      <c r="N90" s="40"/>
      <c r="O90" s="15"/>
      <c r="P90" s="55"/>
      <c r="Q90" s="49"/>
      <c r="R90" s="49"/>
      <c r="S90" s="49"/>
      <c r="T90" s="49"/>
      <c r="U90" s="49"/>
      <c r="V90" s="49"/>
      <c r="W90" s="49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</row>
    <row r="91" spans="1:42" s="28" customFormat="1" x14ac:dyDescent="0.25">
      <c r="A91" s="26" t="s">
        <v>134</v>
      </c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45"/>
      <c r="N91" s="45"/>
      <c r="O91" s="27"/>
      <c r="P91" s="59"/>
      <c r="Q91" s="59"/>
      <c r="R91" s="59"/>
      <c r="S91" s="59"/>
      <c r="T91" s="59"/>
      <c r="U91" s="59"/>
      <c r="V91" s="59"/>
      <c r="W91" s="59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</row>
    <row r="92" spans="1:42" s="12" customFormat="1" x14ac:dyDescent="0.25">
      <c r="A92" s="20" t="s">
        <v>135</v>
      </c>
      <c r="B92" s="71"/>
      <c r="C92" s="14">
        <v>1</v>
      </c>
      <c r="D92" s="71"/>
      <c r="E92" s="14">
        <v>1</v>
      </c>
      <c r="F92" s="71"/>
      <c r="G92" s="14">
        <v>1</v>
      </c>
      <c r="H92" s="71"/>
      <c r="I92" s="14">
        <v>1</v>
      </c>
      <c r="J92" s="71"/>
      <c r="K92" s="14" t="s">
        <v>136</v>
      </c>
      <c r="L92" s="14"/>
      <c r="M92" s="40">
        <v>6.75</v>
      </c>
      <c r="N92" s="40"/>
      <c r="O92" s="37" t="s">
        <v>230</v>
      </c>
      <c r="P92" s="55" t="s">
        <v>218</v>
      </c>
      <c r="Q92" s="49"/>
      <c r="R92" s="49"/>
      <c r="S92" s="49"/>
      <c r="T92" s="49"/>
      <c r="U92" s="49"/>
      <c r="V92" s="49"/>
      <c r="W92" s="49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</row>
    <row r="93" spans="1:42" s="19" customFormat="1" x14ac:dyDescent="0.25">
      <c r="A93" s="21" t="s">
        <v>137</v>
      </c>
      <c r="B93" s="71"/>
      <c r="C93" s="17">
        <v>1</v>
      </c>
      <c r="D93" s="71"/>
      <c r="E93" s="17">
        <v>1</v>
      </c>
      <c r="F93" s="71"/>
      <c r="G93" s="17">
        <v>1</v>
      </c>
      <c r="H93" s="71"/>
      <c r="I93" s="17">
        <v>1</v>
      </c>
      <c r="J93" s="71"/>
      <c r="K93" s="17"/>
      <c r="L93" s="17"/>
      <c r="M93" s="41">
        <v>4.25</v>
      </c>
      <c r="N93" s="41"/>
      <c r="O93" s="18" t="s">
        <v>231</v>
      </c>
      <c r="P93" s="56" t="s">
        <v>218</v>
      </c>
      <c r="Q93" s="49"/>
      <c r="R93" s="49"/>
      <c r="S93" s="49"/>
      <c r="T93" s="49"/>
      <c r="U93" s="49"/>
      <c r="V93" s="49"/>
      <c r="W93" s="49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</row>
    <row r="94" spans="1:42" s="12" customFormat="1" x14ac:dyDescent="0.25">
      <c r="A94" s="20"/>
      <c r="B94" s="71"/>
      <c r="C94" s="14"/>
      <c r="D94" s="71"/>
      <c r="E94" s="14"/>
      <c r="F94" s="71"/>
      <c r="G94" s="14"/>
      <c r="H94" s="71"/>
      <c r="I94" s="14"/>
      <c r="J94" s="71"/>
      <c r="K94" s="14"/>
      <c r="L94" s="14"/>
      <c r="M94" s="40"/>
      <c r="N94" s="40"/>
      <c r="O94" s="15"/>
      <c r="P94" s="55"/>
      <c r="Q94" s="49"/>
      <c r="R94" s="49"/>
      <c r="S94" s="49"/>
      <c r="T94" s="49"/>
      <c r="U94" s="49"/>
      <c r="V94" s="49"/>
      <c r="W94" s="49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</row>
    <row r="95" spans="1:42" s="28" customFormat="1" x14ac:dyDescent="0.25">
      <c r="A95" s="26" t="s">
        <v>141</v>
      </c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45"/>
      <c r="N95" s="45"/>
      <c r="O95" s="27"/>
      <c r="P95" s="59"/>
      <c r="Q95" s="59"/>
      <c r="R95" s="59"/>
      <c r="S95" s="59"/>
      <c r="T95" s="59"/>
      <c r="U95" s="59"/>
      <c r="V95" s="59"/>
      <c r="W95" s="59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</row>
    <row r="96" spans="1:42" s="12" customFormat="1" x14ac:dyDescent="0.25">
      <c r="A96" s="20" t="s">
        <v>142</v>
      </c>
      <c r="B96" s="71"/>
      <c r="C96" s="14">
        <v>1</v>
      </c>
      <c r="D96" s="71"/>
      <c r="E96" s="14">
        <v>1</v>
      </c>
      <c r="F96" s="71"/>
      <c r="G96" s="14">
        <v>1</v>
      </c>
      <c r="H96" s="71"/>
      <c r="I96" s="14">
        <v>1</v>
      </c>
      <c r="J96" s="71"/>
      <c r="K96" s="14" t="s">
        <v>143</v>
      </c>
      <c r="L96" s="14"/>
      <c r="M96" s="40"/>
      <c r="N96" s="40"/>
      <c r="O96" s="15" t="s">
        <v>145</v>
      </c>
      <c r="P96" s="55" t="s">
        <v>218</v>
      </c>
      <c r="Q96" s="49"/>
      <c r="R96" s="49"/>
      <c r="S96" s="49"/>
      <c r="T96" s="49"/>
      <c r="U96" s="49"/>
      <c r="V96" s="49"/>
      <c r="W96" s="49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</row>
    <row r="97" spans="1:42" s="19" customFormat="1" x14ac:dyDescent="0.25">
      <c r="A97" s="21" t="s">
        <v>144</v>
      </c>
      <c r="B97" s="71"/>
      <c r="C97" s="17">
        <v>1</v>
      </c>
      <c r="D97" s="71"/>
      <c r="E97" s="17">
        <v>1</v>
      </c>
      <c r="F97" s="71"/>
      <c r="G97" s="17">
        <v>1</v>
      </c>
      <c r="H97" s="71"/>
      <c r="I97" s="17">
        <v>1</v>
      </c>
      <c r="J97" s="71"/>
      <c r="K97" s="17" t="s">
        <v>147</v>
      </c>
      <c r="L97" s="17"/>
      <c r="M97" s="41"/>
      <c r="N97" s="41"/>
      <c r="O97" s="18" t="s">
        <v>146</v>
      </c>
      <c r="P97" s="56" t="s">
        <v>218</v>
      </c>
      <c r="Q97" s="49"/>
      <c r="R97" s="49"/>
      <c r="S97" s="49"/>
      <c r="T97" s="49"/>
      <c r="U97" s="49"/>
      <c r="V97" s="49"/>
      <c r="W97" s="49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</row>
    <row r="98" spans="1:42" s="12" customFormat="1" x14ac:dyDescent="0.25">
      <c r="A98" s="20" t="s">
        <v>148</v>
      </c>
      <c r="B98" s="71"/>
      <c r="C98" s="14"/>
      <c r="D98" s="71"/>
      <c r="E98" s="14"/>
      <c r="F98" s="71"/>
      <c r="G98" s="14"/>
      <c r="H98" s="71"/>
      <c r="I98" s="14"/>
      <c r="J98" s="71"/>
      <c r="K98" s="14"/>
      <c r="L98" s="14"/>
      <c r="M98" s="40"/>
      <c r="N98" s="40"/>
      <c r="O98" s="15" t="s">
        <v>149</v>
      </c>
      <c r="P98" s="55" t="s">
        <v>218</v>
      </c>
      <c r="Q98" s="49"/>
      <c r="R98" s="49"/>
      <c r="S98" s="49"/>
      <c r="T98" s="49"/>
      <c r="U98" s="49"/>
      <c r="V98" s="49"/>
      <c r="W98" s="49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</row>
    <row r="99" spans="1:42" s="23" customFormat="1" x14ac:dyDescent="0.25">
      <c r="B99" s="71"/>
      <c r="D99" s="71"/>
      <c r="F99" s="71"/>
      <c r="H99" s="71"/>
      <c r="J99" s="71"/>
      <c r="M99" s="46"/>
      <c r="N99" s="46"/>
      <c r="O99" s="24"/>
      <c r="P99" s="60"/>
      <c r="Q99" s="49"/>
      <c r="R99" s="49"/>
      <c r="S99" s="49"/>
      <c r="T99" s="49"/>
      <c r="U99" s="49"/>
      <c r="V99" s="49"/>
      <c r="W99" s="49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</row>
    <row r="100" spans="1:42" s="28" customFormat="1" x14ac:dyDescent="0.25">
      <c r="A100" s="26" t="s">
        <v>204</v>
      </c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45"/>
      <c r="N100" s="45"/>
      <c r="O100" s="27"/>
      <c r="P100" s="59"/>
      <c r="Q100" s="59"/>
      <c r="R100" s="59"/>
      <c r="S100" s="59"/>
      <c r="T100" s="59"/>
      <c r="U100" s="59"/>
      <c r="V100" s="59"/>
      <c r="W100" s="59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</row>
    <row r="101" spans="1:42" s="12" customFormat="1" x14ac:dyDescent="0.25">
      <c r="A101" s="20" t="s">
        <v>163</v>
      </c>
      <c r="B101" s="71"/>
      <c r="C101" s="14">
        <v>1</v>
      </c>
      <c r="D101" s="71"/>
      <c r="E101" s="14">
        <v>1</v>
      </c>
      <c r="F101" s="71"/>
      <c r="G101" s="14">
        <v>1</v>
      </c>
      <c r="H101" s="71"/>
      <c r="I101" s="14">
        <v>1</v>
      </c>
      <c r="J101" s="71"/>
      <c r="K101" s="14" t="s">
        <v>164</v>
      </c>
      <c r="L101" s="14"/>
      <c r="M101" s="40">
        <v>1.95</v>
      </c>
      <c r="N101" s="40"/>
      <c r="O101" s="15" t="s">
        <v>165</v>
      </c>
      <c r="P101" s="55" t="s">
        <v>218</v>
      </c>
      <c r="Q101" s="49"/>
      <c r="R101" s="49"/>
      <c r="S101" s="49"/>
      <c r="T101" s="49"/>
      <c r="U101" s="49"/>
      <c r="V101" s="49"/>
      <c r="W101" s="49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</row>
    <row r="102" spans="1:42" s="19" customFormat="1" x14ac:dyDescent="0.25">
      <c r="A102" s="21" t="s">
        <v>162</v>
      </c>
      <c r="B102" s="71"/>
      <c r="C102" s="17">
        <v>1</v>
      </c>
      <c r="D102" s="71"/>
      <c r="E102" s="17">
        <v>1</v>
      </c>
      <c r="F102" s="71"/>
      <c r="G102" s="17">
        <v>1</v>
      </c>
      <c r="H102" s="71"/>
      <c r="I102" s="17">
        <v>1</v>
      </c>
      <c r="J102" s="71"/>
      <c r="K102" s="17" t="s">
        <v>168</v>
      </c>
      <c r="L102" s="17" t="s">
        <v>167</v>
      </c>
      <c r="M102" s="41">
        <v>1.5</v>
      </c>
      <c r="N102" s="41"/>
      <c r="O102" s="38" t="s">
        <v>166</v>
      </c>
      <c r="P102" s="56" t="s">
        <v>218</v>
      </c>
      <c r="Q102" s="49"/>
      <c r="R102" s="49"/>
      <c r="S102" s="49"/>
      <c r="T102" s="49"/>
      <c r="U102" s="49"/>
      <c r="V102" s="49"/>
      <c r="W102" s="49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</row>
    <row r="103" spans="1:42" s="23" customFormat="1" x14ac:dyDescent="0.25">
      <c r="B103" s="71"/>
      <c r="D103" s="71"/>
      <c r="F103" s="71"/>
      <c r="H103" s="71"/>
      <c r="J103" s="71"/>
      <c r="M103" s="46"/>
      <c r="N103" s="46"/>
      <c r="O103" s="24"/>
      <c r="P103" s="60"/>
      <c r="Q103" s="49"/>
      <c r="R103" s="49"/>
      <c r="S103" s="49"/>
      <c r="T103" s="49"/>
      <c r="U103" s="49"/>
      <c r="V103" s="49"/>
      <c r="W103" s="49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</row>
    <row r="104" spans="1:42" s="12" customFormat="1" x14ac:dyDescent="0.25">
      <c r="A104" s="20"/>
      <c r="B104" s="71"/>
      <c r="C104" s="14"/>
      <c r="D104" s="71"/>
      <c r="E104" s="14"/>
      <c r="F104" s="71"/>
      <c r="G104" s="14"/>
      <c r="H104" s="71"/>
      <c r="I104" s="14"/>
      <c r="J104" s="71"/>
      <c r="K104" s="14"/>
      <c r="L104" s="14"/>
      <c r="M104" s="40"/>
      <c r="N104" s="40"/>
      <c r="O104" s="15"/>
      <c r="P104" s="55"/>
      <c r="Q104" s="49"/>
      <c r="R104" s="49"/>
      <c r="S104" s="49"/>
      <c r="T104" s="49"/>
      <c r="U104" s="49"/>
      <c r="V104" s="49"/>
      <c r="W104" s="49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</row>
    <row r="105" spans="1:42" s="23" customFormat="1" x14ac:dyDescent="0.25">
      <c r="O105" s="24"/>
      <c r="P105" s="60"/>
      <c r="Q105" s="49"/>
      <c r="R105" s="49"/>
      <c r="S105" s="49"/>
      <c r="T105" s="49"/>
      <c r="U105" s="49"/>
      <c r="V105" s="49"/>
      <c r="W105" s="49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</row>
    <row r="106" spans="1:42" s="23" customFormat="1" x14ac:dyDescent="0.25">
      <c r="O106" s="24"/>
      <c r="P106" s="60"/>
      <c r="Q106" s="49"/>
      <c r="R106" s="49"/>
      <c r="S106" s="49"/>
      <c r="T106" s="49"/>
      <c r="U106" s="49"/>
      <c r="V106" s="49"/>
      <c r="W106" s="49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</row>
    <row r="107" spans="1:42" s="23" customFormat="1" x14ac:dyDescent="0.25">
      <c r="O107" s="24"/>
      <c r="P107" s="60"/>
      <c r="Q107" s="49"/>
      <c r="R107" s="49"/>
      <c r="S107" s="49"/>
      <c r="T107" s="49"/>
      <c r="U107" s="49"/>
      <c r="V107" s="49"/>
      <c r="W107" s="49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</row>
    <row r="108" spans="1:42" s="23" customFormat="1" x14ac:dyDescent="0.25">
      <c r="O108" s="24"/>
      <c r="P108" s="60"/>
      <c r="Q108" s="49"/>
      <c r="R108" s="49"/>
      <c r="S108" s="49"/>
      <c r="T108" s="49"/>
      <c r="U108" s="49"/>
      <c r="V108" s="49"/>
      <c r="W108" s="49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</row>
    <row r="109" spans="1:42" s="23" customFormat="1" x14ac:dyDescent="0.25">
      <c r="O109" s="24"/>
      <c r="P109" s="60"/>
      <c r="Q109" s="14"/>
      <c r="R109" s="14"/>
      <c r="S109" s="14"/>
      <c r="T109" s="14"/>
      <c r="U109" s="14"/>
      <c r="V109" s="14"/>
      <c r="W109" s="1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</row>
    <row r="110" spans="1:42" s="23" customFormat="1" x14ac:dyDescent="0.25">
      <c r="O110" s="24"/>
      <c r="P110" s="60"/>
      <c r="Q110" s="14"/>
      <c r="R110" s="14"/>
      <c r="S110" s="14"/>
      <c r="T110" s="14"/>
      <c r="U110" s="14"/>
      <c r="V110" s="14"/>
      <c r="W110" s="1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</row>
    <row r="111" spans="1:42" s="23" customFormat="1" x14ac:dyDescent="0.25">
      <c r="O111" s="24"/>
      <c r="P111" s="60"/>
      <c r="Q111" s="14"/>
      <c r="R111" s="14"/>
      <c r="S111" s="14"/>
      <c r="T111" s="14"/>
      <c r="U111" s="14"/>
      <c r="V111" s="14"/>
      <c r="W111" s="1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</row>
    <row r="112" spans="1:42" s="23" customFormat="1" x14ac:dyDescent="0.25">
      <c r="O112" s="24"/>
      <c r="P112" s="60"/>
      <c r="Q112" s="14"/>
      <c r="R112" s="14"/>
      <c r="S112" s="14"/>
      <c r="T112" s="14"/>
      <c r="U112" s="14"/>
      <c r="V112" s="14"/>
      <c r="W112" s="1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</row>
    <row r="113" spans="15:42" s="23" customFormat="1" x14ac:dyDescent="0.25">
      <c r="O113" s="24"/>
      <c r="P113" s="60"/>
      <c r="Q113" s="14"/>
      <c r="R113" s="14"/>
      <c r="S113" s="14"/>
      <c r="T113" s="14"/>
      <c r="U113" s="14"/>
      <c r="V113" s="14"/>
      <c r="W113" s="1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</row>
    <row r="114" spans="15:42" s="23" customFormat="1" x14ac:dyDescent="0.25">
      <c r="O114" s="24"/>
      <c r="P114" s="60"/>
      <c r="Q114" s="14"/>
      <c r="R114" s="14"/>
      <c r="S114" s="14"/>
      <c r="T114" s="14"/>
      <c r="U114" s="14"/>
      <c r="V114" s="14"/>
      <c r="W114" s="1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</row>
    <row r="115" spans="15:42" s="23" customFormat="1" x14ac:dyDescent="0.25">
      <c r="O115" s="24"/>
      <c r="P115" s="60"/>
      <c r="Q115" s="14"/>
      <c r="R115" s="14"/>
      <c r="S115" s="14"/>
      <c r="T115" s="14"/>
      <c r="U115" s="14"/>
      <c r="V115" s="14"/>
      <c r="W115" s="1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</row>
    <row r="116" spans="15:42" s="23" customFormat="1" x14ac:dyDescent="0.25">
      <c r="O116" s="24"/>
      <c r="P116" s="60"/>
      <c r="Q116" s="14"/>
      <c r="R116" s="14"/>
      <c r="S116" s="14"/>
      <c r="T116" s="14"/>
      <c r="U116" s="14"/>
      <c r="V116" s="14"/>
      <c r="W116" s="1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</row>
    <row r="117" spans="15:42" s="23" customFormat="1" x14ac:dyDescent="0.25">
      <c r="O117" s="24"/>
      <c r="P117" s="60"/>
      <c r="Q117" s="14"/>
      <c r="R117" s="14"/>
      <c r="S117" s="14"/>
      <c r="T117" s="14"/>
      <c r="U117" s="14"/>
      <c r="V117" s="14"/>
      <c r="W117" s="1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</row>
    <row r="118" spans="15:42" s="23" customFormat="1" x14ac:dyDescent="0.25">
      <c r="O118" s="24"/>
      <c r="P118" s="60"/>
      <c r="Q118" s="14"/>
      <c r="R118" s="14"/>
      <c r="S118" s="14"/>
      <c r="T118" s="14"/>
      <c r="U118" s="14"/>
      <c r="V118" s="14"/>
      <c r="W118" s="1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</row>
    <row r="119" spans="15:42" s="23" customFormat="1" x14ac:dyDescent="0.25">
      <c r="O119" s="24"/>
      <c r="P119" s="60"/>
      <c r="Q119" s="14"/>
      <c r="R119" s="14"/>
      <c r="S119" s="14"/>
      <c r="T119" s="14"/>
      <c r="U119" s="14"/>
      <c r="V119" s="14"/>
      <c r="W119" s="1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</row>
    <row r="120" spans="15:42" s="23" customFormat="1" x14ac:dyDescent="0.25">
      <c r="O120" s="24"/>
      <c r="P120" s="60"/>
      <c r="Q120" s="14"/>
      <c r="R120" s="14"/>
      <c r="S120" s="14"/>
      <c r="T120" s="14"/>
      <c r="U120" s="14"/>
      <c r="V120" s="14"/>
      <c r="W120" s="1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</row>
    <row r="121" spans="15:42" s="23" customFormat="1" x14ac:dyDescent="0.25">
      <c r="O121" s="24"/>
      <c r="P121" s="60"/>
      <c r="Q121" s="14"/>
      <c r="R121" s="14"/>
      <c r="S121" s="14"/>
      <c r="T121" s="14"/>
      <c r="U121" s="14"/>
      <c r="V121" s="14"/>
      <c r="W121" s="1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</row>
    <row r="122" spans="15:42" s="23" customFormat="1" x14ac:dyDescent="0.25">
      <c r="O122" s="24"/>
      <c r="P122" s="60"/>
      <c r="Q122" s="14"/>
      <c r="R122" s="14"/>
      <c r="S122" s="14"/>
      <c r="T122" s="14"/>
      <c r="U122" s="14"/>
      <c r="V122" s="14"/>
      <c r="W122" s="1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</row>
    <row r="123" spans="15:42" s="23" customFormat="1" x14ac:dyDescent="0.25">
      <c r="O123" s="24"/>
      <c r="P123" s="60"/>
      <c r="Q123" s="14"/>
      <c r="R123" s="14"/>
      <c r="S123" s="14"/>
      <c r="T123" s="14"/>
      <c r="U123" s="14"/>
      <c r="V123" s="14"/>
      <c r="W123" s="1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</row>
    <row r="124" spans="15:42" s="23" customFormat="1" x14ac:dyDescent="0.25">
      <c r="O124" s="24"/>
      <c r="P124" s="60"/>
      <c r="Q124" s="14"/>
      <c r="R124" s="14"/>
      <c r="S124" s="14"/>
      <c r="T124" s="14"/>
      <c r="U124" s="14"/>
      <c r="V124" s="14"/>
      <c r="W124" s="1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</row>
    <row r="125" spans="15:42" s="23" customFormat="1" x14ac:dyDescent="0.25">
      <c r="O125" s="24"/>
      <c r="P125" s="60"/>
      <c r="Q125" s="14"/>
      <c r="R125" s="14"/>
      <c r="S125" s="14"/>
      <c r="T125" s="14"/>
      <c r="U125" s="14"/>
      <c r="V125" s="14"/>
      <c r="W125" s="1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</row>
    <row r="126" spans="15:42" s="23" customFormat="1" x14ac:dyDescent="0.25">
      <c r="O126" s="24"/>
      <c r="P126" s="60"/>
      <c r="Q126" s="14"/>
      <c r="R126" s="14"/>
      <c r="S126" s="14"/>
      <c r="T126" s="14"/>
      <c r="U126" s="14"/>
      <c r="V126" s="14"/>
      <c r="W126" s="1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</row>
    <row r="127" spans="15:42" s="23" customFormat="1" x14ac:dyDescent="0.25">
      <c r="O127" s="24"/>
      <c r="P127" s="60"/>
      <c r="Q127" s="14"/>
      <c r="R127" s="14"/>
      <c r="S127" s="14"/>
      <c r="T127" s="14"/>
      <c r="U127" s="14"/>
      <c r="V127" s="14"/>
      <c r="W127" s="1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</row>
    <row r="128" spans="15:42" s="23" customFormat="1" x14ac:dyDescent="0.25">
      <c r="O128" s="24"/>
      <c r="P128" s="60"/>
      <c r="Q128" s="14"/>
      <c r="R128" s="14"/>
      <c r="S128" s="14"/>
      <c r="T128" s="14"/>
      <c r="U128" s="14"/>
      <c r="V128" s="14"/>
      <c r="W128" s="1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</row>
    <row r="129" spans="15:42" s="23" customFormat="1" x14ac:dyDescent="0.25">
      <c r="O129" s="24"/>
      <c r="P129" s="60"/>
      <c r="Q129" s="14"/>
      <c r="R129" s="14"/>
      <c r="S129" s="14"/>
      <c r="T129" s="14"/>
      <c r="U129" s="14"/>
      <c r="V129" s="14"/>
      <c r="W129" s="1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</row>
    <row r="130" spans="15:42" s="23" customFormat="1" x14ac:dyDescent="0.25">
      <c r="O130" s="24"/>
      <c r="P130" s="60"/>
      <c r="Q130" s="14"/>
      <c r="R130" s="14"/>
      <c r="S130" s="14"/>
      <c r="T130" s="14"/>
      <c r="U130" s="14"/>
      <c r="V130" s="14"/>
      <c r="W130" s="1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</row>
    <row r="131" spans="15:42" s="23" customFormat="1" x14ac:dyDescent="0.25">
      <c r="O131" s="24"/>
      <c r="P131" s="60"/>
      <c r="Q131" s="14"/>
      <c r="R131" s="14"/>
      <c r="S131" s="14"/>
      <c r="T131" s="14"/>
      <c r="U131" s="14"/>
      <c r="V131" s="14"/>
      <c r="W131" s="1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</row>
    <row r="132" spans="15:42" s="23" customFormat="1" x14ac:dyDescent="0.25">
      <c r="O132" s="24"/>
      <c r="P132" s="60"/>
      <c r="Q132" s="14"/>
      <c r="R132" s="14"/>
      <c r="S132" s="14"/>
      <c r="T132" s="14"/>
      <c r="U132" s="14"/>
      <c r="V132" s="14"/>
      <c r="W132" s="1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</row>
    <row r="133" spans="15:42" s="23" customFormat="1" x14ac:dyDescent="0.25">
      <c r="O133" s="24"/>
      <c r="P133" s="60"/>
      <c r="Q133" s="14"/>
      <c r="R133" s="14"/>
      <c r="S133" s="14"/>
      <c r="T133" s="14"/>
      <c r="U133" s="14"/>
      <c r="V133" s="14"/>
      <c r="W133" s="1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</row>
    <row r="134" spans="15:42" s="23" customFormat="1" x14ac:dyDescent="0.25">
      <c r="O134" s="24"/>
      <c r="P134" s="60"/>
      <c r="Q134" s="14"/>
      <c r="R134" s="14"/>
      <c r="S134" s="14"/>
      <c r="T134" s="14"/>
      <c r="U134" s="14"/>
      <c r="V134" s="14"/>
      <c r="W134" s="1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</row>
    <row r="135" spans="15:42" s="23" customFormat="1" x14ac:dyDescent="0.25">
      <c r="O135" s="24"/>
      <c r="P135" s="60"/>
      <c r="Q135" s="14"/>
      <c r="R135" s="14"/>
      <c r="S135" s="14"/>
      <c r="T135" s="14"/>
      <c r="U135" s="14"/>
      <c r="V135" s="14"/>
      <c r="W135" s="1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</row>
    <row r="136" spans="15:42" s="23" customFormat="1" x14ac:dyDescent="0.25">
      <c r="O136" s="24"/>
      <c r="P136" s="60"/>
      <c r="Q136" s="14"/>
      <c r="R136" s="14"/>
      <c r="S136" s="14"/>
      <c r="T136" s="14"/>
      <c r="U136" s="14"/>
      <c r="V136" s="14"/>
      <c r="W136" s="1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</row>
    <row r="137" spans="15:42" s="23" customFormat="1" x14ac:dyDescent="0.25">
      <c r="O137" s="24"/>
      <c r="P137" s="60"/>
      <c r="Q137" s="14"/>
      <c r="R137" s="14"/>
      <c r="S137" s="14"/>
      <c r="T137" s="14"/>
      <c r="U137" s="14"/>
      <c r="V137" s="14"/>
      <c r="W137" s="1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4"/>
    </row>
    <row r="138" spans="15:42" s="23" customFormat="1" x14ac:dyDescent="0.25">
      <c r="O138" s="24"/>
      <c r="P138" s="60"/>
      <c r="Q138" s="14"/>
      <c r="R138" s="14"/>
      <c r="S138" s="14"/>
      <c r="T138" s="14"/>
      <c r="U138" s="14"/>
      <c r="V138" s="14"/>
      <c r="W138" s="1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</row>
    <row r="139" spans="15:42" s="23" customFormat="1" x14ac:dyDescent="0.25">
      <c r="O139" s="24"/>
      <c r="P139" s="60"/>
      <c r="Q139" s="14"/>
      <c r="R139" s="14"/>
      <c r="S139" s="14"/>
      <c r="T139" s="14"/>
      <c r="U139" s="14"/>
      <c r="V139" s="14"/>
      <c r="W139" s="1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</row>
    <row r="140" spans="15:42" s="23" customFormat="1" x14ac:dyDescent="0.25">
      <c r="O140" s="24"/>
      <c r="P140" s="60"/>
      <c r="Q140" s="14"/>
      <c r="R140" s="14"/>
      <c r="S140" s="14"/>
      <c r="T140" s="14"/>
      <c r="U140" s="14"/>
      <c r="V140" s="14"/>
      <c r="W140" s="1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4"/>
    </row>
    <row r="141" spans="15:42" s="23" customFormat="1" x14ac:dyDescent="0.25">
      <c r="O141" s="24"/>
      <c r="P141" s="60"/>
      <c r="Q141" s="14"/>
      <c r="R141" s="14"/>
      <c r="S141" s="14"/>
      <c r="T141" s="14"/>
      <c r="U141" s="14"/>
      <c r="V141" s="14"/>
      <c r="W141" s="1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</row>
    <row r="142" spans="15:42" s="23" customFormat="1" x14ac:dyDescent="0.25">
      <c r="O142" s="24"/>
      <c r="P142" s="60"/>
      <c r="Q142" s="14"/>
      <c r="R142" s="14"/>
      <c r="S142" s="14"/>
      <c r="T142" s="14"/>
      <c r="U142" s="14"/>
      <c r="V142" s="14"/>
      <c r="W142" s="1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</row>
    <row r="143" spans="15:42" s="23" customFormat="1" x14ac:dyDescent="0.25">
      <c r="O143" s="24"/>
      <c r="P143" s="60"/>
      <c r="Q143" s="14"/>
      <c r="R143" s="14"/>
      <c r="S143" s="14"/>
      <c r="T143" s="14"/>
      <c r="U143" s="14"/>
      <c r="V143" s="14"/>
      <c r="W143" s="1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</row>
    <row r="144" spans="15:42" s="23" customFormat="1" x14ac:dyDescent="0.25">
      <c r="O144" s="24"/>
      <c r="P144" s="60"/>
      <c r="Q144" s="14"/>
      <c r="R144" s="14"/>
      <c r="S144" s="14"/>
      <c r="T144" s="14"/>
      <c r="U144" s="14"/>
      <c r="V144" s="14"/>
      <c r="W144" s="1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</row>
    <row r="145" spans="15:42" s="23" customFormat="1" x14ac:dyDescent="0.25">
      <c r="O145" s="24"/>
      <c r="P145" s="60"/>
      <c r="Q145" s="14"/>
      <c r="R145" s="14"/>
      <c r="S145" s="14"/>
      <c r="T145" s="14"/>
      <c r="U145" s="14"/>
      <c r="V145" s="14"/>
      <c r="W145" s="1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</row>
    <row r="146" spans="15:42" s="23" customFormat="1" x14ac:dyDescent="0.25">
      <c r="O146" s="24"/>
      <c r="P146" s="60"/>
      <c r="Q146" s="14"/>
      <c r="R146" s="14"/>
      <c r="S146" s="14"/>
      <c r="T146" s="14"/>
      <c r="U146" s="14"/>
      <c r="V146" s="14"/>
      <c r="W146" s="1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4"/>
      <c r="AM146" s="24"/>
      <c r="AN146" s="24"/>
      <c r="AO146" s="24"/>
      <c r="AP146" s="24"/>
    </row>
    <row r="147" spans="15:42" s="23" customFormat="1" x14ac:dyDescent="0.25">
      <c r="O147" s="24"/>
      <c r="P147" s="60"/>
      <c r="Q147" s="14"/>
      <c r="R147" s="14"/>
      <c r="S147" s="14"/>
      <c r="T147" s="14"/>
      <c r="U147" s="14"/>
      <c r="V147" s="14"/>
      <c r="W147" s="1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24"/>
      <c r="AP147" s="24"/>
    </row>
    <row r="148" spans="15:42" s="23" customFormat="1" x14ac:dyDescent="0.25">
      <c r="O148" s="24"/>
      <c r="P148" s="60"/>
      <c r="Q148" s="14"/>
      <c r="R148" s="14"/>
      <c r="S148" s="14"/>
      <c r="T148" s="14"/>
      <c r="U148" s="14"/>
      <c r="V148" s="14"/>
      <c r="W148" s="1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</row>
    <row r="149" spans="15:42" s="23" customFormat="1" x14ac:dyDescent="0.25">
      <c r="O149" s="24"/>
      <c r="P149" s="60"/>
      <c r="Q149" s="14"/>
      <c r="R149" s="14"/>
      <c r="S149" s="14"/>
      <c r="T149" s="14"/>
      <c r="U149" s="14"/>
      <c r="V149" s="14"/>
      <c r="W149" s="1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</row>
    <row r="150" spans="15:42" s="23" customFormat="1" x14ac:dyDescent="0.25">
      <c r="O150" s="24"/>
      <c r="P150" s="60"/>
      <c r="Q150" s="14"/>
      <c r="R150" s="14"/>
      <c r="S150" s="14"/>
      <c r="T150" s="14"/>
      <c r="U150" s="14"/>
      <c r="V150" s="14"/>
      <c r="W150" s="1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</row>
    <row r="151" spans="15:42" s="23" customFormat="1" x14ac:dyDescent="0.25">
      <c r="O151" s="24"/>
      <c r="P151" s="60"/>
      <c r="Q151" s="14"/>
      <c r="R151" s="14"/>
      <c r="S151" s="14"/>
      <c r="T151" s="14"/>
      <c r="U151" s="14"/>
      <c r="V151" s="14"/>
      <c r="W151" s="1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</row>
    <row r="152" spans="15:42" s="23" customFormat="1" x14ac:dyDescent="0.25">
      <c r="O152" s="24"/>
      <c r="P152" s="60"/>
      <c r="Q152" s="14"/>
      <c r="R152" s="14"/>
      <c r="S152" s="14"/>
      <c r="T152" s="14"/>
      <c r="U152" s="14"/>
      <c r="V152" s="14"/>
      <c r="W152" s="1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</row>
    <row r="153" spans="15:42" s="23" customFormat="1" x14ac:dyDescent="0.25">
      <c r="O153" s="24"/>
      <c r="P153" s="60"/>
      <c r="Q153" s="14"/>
      <c r="R153" s="14"/>
      <c r="S153" s="14"/>
      <c r="T153" s="14"/>
      <c r="U153" s="14"/>
      <c r="V153" s="14"/>
      <c r="W153" s="1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</row>
    <row r="154" spans="15:42" s="23" customFormat="1" x14ac:dyDescent="0.25">
      <c r="O154" s="24"/>
      <c r="P154" s="60"/>
      <c r="Q154" s="14"/>
      <c r="R154" s="14"/>
      <c r="S154" s="14"/>
      <c r="T154" s="14"/>
      <c r="U154" s="14"/>
      <c r="V154" s="14"/>
      <c r="W154" s="1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</row>
    <row r="155" spans="15:42" s="23" customFormat="1" x14ac:dyDescent="0.25">
      <c r="O155" s="24"/>
      <c r="P155" s="60"/>
      <c r="Q155" s="14"/>
      <c r="R155" s="14"/>
      <c r="S155" s="14"/>
      <c r="T155" s="14"/>
      <c r="U155" s="14"/>
      <c r="V155" s="14"/>
      <c r="W155" s="1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</row>
    <row r="156" spans="15:42" s="23" customFormat="1" x14ac:dyDescent="0.25">
      <c r="O156" s="24"/>
      <c r="P156" s="60"/>
      <c r="Q156" s="14"/>
      <c r="R156" s="14"/>
      <c r="S156" s="14"/>
      <c r="T156" s="14"/>
      <c r="U156" s="14"/>
      <c r="V156" s="14"/>
      <c r="W156" s="1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</row>
    <row r="157" spans="15:42" s="23" customFormat="1" x14ac:dyDescent="0.25">
      <c r="O157" s="24"/>
      <c r="P157" s="60"/>
      <c r="Q157" s="14"/>
      <c r="R157" s="14"/>
      <c r="S157" s="14"/>
      <c r="T157" s="14"/>
      <c r="U157" s="14"/>
      <c r="V157" s="14"/>
      <c r="W157" s="1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</row>
    <row r="158" spans="15:42" s="23" customFormat="1" x14ac:dyDescent="0.25">
      <c r="O158" s="24"/>
      <c r="P158" s="60"/>
      <c r="Q158" s="14"/>
      <c r="R158" s="14"/>
      <c r="S158" s="14"/>
      <c r="T158" s="14"/>
      <c r="U158" s="14"/>
      <c r="V158" s="14"/>
      <c r="W158" s="1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</row>
    <row r="159" spans="15:42" s="23" customFormat="1" x14ac:dyDescent="0.25">
      <c r="O159" s="24"/>
      <c r="P159" s="60"/>
      <c r="Q159" s="14"/>
      <c r="R159" s="14"/>
      <c r="S159" s="14"/>
      <c r="T159" s="14"/>
      <c r="U159" s="14"/>
      <c r="V159" s="14"/>
      <c r="W159" s="1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</row>
    <row r="160" spans="15:42" s="23" customFormat="1" x14ac:dyDescent="0.25">
      <c r="O160" s="24"/>
      <c r="P160" s="60"/>
      <c r="Q160" s="14"/>
      <c r="R160" s="14"/>
      <c r="S160" s="14"/>
      <c r="T160" s="14"/>
      <c r="U160" s="14"/>
      <c r="V160" s="14"/>
      <c r="W160" s="1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</row>
    <row r="161" spans="15:42" s="23" customFormat="1" x14ac:dyDescent="0.25">
      <c r="O161" s="24"/>
      <c r="P161" s="60"/>
      <c r="Q161" s="14"/>
      <c r="R161" s="14"/>
      <c r="S161" s="14"/>
      <c r="T161" s="14"/>
      <c r="U161" s="14"/>
      <c r="V161" s="14"/>
      <c r="W161" s="1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</row>
    <row r="162" spans="15:42" s="6" customFormat="1" x14ac:dyDescent="0.25">
      <c r="O162" s="2"/>
      <c r="P162" s="52"/>
      <c r="Q162" s="47"/>
      <c r="R162" s="47"/>
      <c r="S162" s="47"/>
      <c r="T162" s="47"/>
      <c r="U162" s="47"/>
      <c r="V162" s="47"/>
      <c r="W162" s="47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</row>
    <row r="163" spans="15:42" s="6" customFormat="1" x14ac:dyDescent="0.25">
      <c r="O163" s="2"/>
      <c r="P163" s="52"/>
      <c r="Q163" s="47"/>
      <c r="R163" s="47"/>
      <c r="S163" s="47"/>
      <c r="T163" s="47"/>
      <c r="U163" s="47"/>
      <c r="V163" s="47"/>
      <c r="W163" s="47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</row>
    <row r="164" spans="15:42" s="6" customFormat="1" x14ac:dyDescent="0.25">
      <c r="O164" s="2"/>
      <c r="P164" s="52"/>
      <c r="Q164" s="47"/>
      <c r="R164" s="47"/>
      <c r="S164" s="47"/>
      <c r="T164" s="47"/>
      <c r="U164" s="47"/>
      <c r="V164" s="47"/>
      <c r="W164" s="47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</row>
    <row r="165" spans="15:42" s="6" customFormat="1" x14ac:dyDescent="0.25">
      <c r="O165" s="2"/>
      <c r="P165" s="52"/>
      <c r="Q165" s="47"/>
      <c r="R165" s="47"/>
      <c r="S165" s="47"/>
      <c r="T165" s="47"/>
      <c r="U165" s="47"/>
      <c r="V165" s="47"/>
      <c r="W165" s="47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</row>
    <row r="166" spans="15:42" s="6" customFormat="1" x14ac:dyDescent="0.25">
      <c r="O166" s="2"/>
      <c r="P166" s="52"/>
      <c r="Q166" s="47"/>
      <c r="R166" s="47"/>
      <c r="S166" s="47"/>
      <c r="T166" s="47"/>
      <c r="U166" s="47"/>
      <c r="V166" s="47"/>
      <c r="W166" s="47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</row>
    <row r="167" spans="15:42" s="6" customFormat="1" x14ac:dyDescent="0.25">
      <c r="O167" s="2"/>
      <c r="P167" s="52"/>
      <c r="Q167" s="47"/>
      <c r="R167" s="47"/>
      <c r="S167" s="47"/>
      <c r="T167" s="47"/>
      <c r="U167" s="47"/>
      <c r="V167" s="47"/>
      <c r="W167" s="47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</row>
    <row r="168" spans="15:42" s="6" customFormat="1" x14ac:dyDescent="0.25">
      <c r="O168" s="2"/>
      <c r="P168" s="52"/>
      <c r="Q168" s="47"/>
      <c r="R168" s="47"/>
      <c r="S168" s="47"/>
      <c r="T168" s="47"/>
      <c r="U168" s="47"/>
      <c r="V168" s="47"/>
      <c r="W168" s="47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</row>
    <row r="169" spans="15:42" s="6" customFormat="1" x14ac:dyDescent="0.25">
      <c r="O169" s="2"/>
      <c r="P169" s="52"/>
      <c r="Q169" s="47"/>
      <c r="R169" s="47"/>
      <c r="S169" s="47"/>
      <c r="T169" s="47"/>
      <c r="U169" s="47"/>
      <c r="V169" s="47"/>
      <c r="W169" s="47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</row>
    <row r="170" spans="15:42" s="6" customFormat="1" x14ac:dyDescent="0.25">
      <c r="O170" s="2"/>
      <c r="P170" s="52"/>
      <c r="Q170" s="47"/>
      <c r="R170" s="47"/>
      <c r="S170" s="47"/>
      <c r="T170" s="47"/>
      <c r="U170" s="47"/>
      <c r="V170" s="47"/>
      <c r="W170" s="47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</row>
    <row r="171" spans="15:42" s="6" customFormat="1" x14ac:dyDescent="0.25">
      <c r="O171" s="2"/>
      <c r="P171" s="52"/>
      <c r="Q171" s="47"/>
      <c r="R171" s="47"/>
      <c r="S171" s="47"/>
      <c r="T171" s="47"/>
      <c r="U171" s="47"/>
      <c r="V171" s="47"/>
      <c r="W171" s="47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</row>
    <row r="172" spans="15:42" s="6" customFormat="1" x14ac:dyDescent="0.25">
      <c r="O172" s="2"/>
      <c r="P172" s="52"/>
      <c r="Q172" s="47"/>
      <c r="R172" s="47"/>
      <c r="S172" s="47"/>
      <c r="T172" s="47"/>
      <c r="U172" s="47"/>
      <c r="V172" s="47"/>
      <c r="W172" s="47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</row>
    <row r="173" spans="15:42" s="6" customFormat="1" x14ac:dyDescent="0.25">
      <c r="O173" s="2"/>
      <c r="P173" s="52"/>
      <c r="Q173" s="47"/>
      <c r="R173" s="47"/>
      <c r="S173" s="47"/>
      <c r="T173" s="47"/>
      <c r="U173" s="47"/>
      <c r="V173" s="47"/>
      <c r="W173" s="47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</row>
    <row r="174" spans="15:42" s="6" customFormat="1" x14ac:dyDescent="0.25">
      <c r="O174" s="2"/>
      <c r="P174" s="52"/>
      <c r="Q174" s="47"/>
      <c r="R174" s="47"/>
      <c r="S174" s="47"/>
      <c r="T174" s="47"/>
      <c r="U174" s="47"/>
      <c r="V174" s="47"/>
      <c r="W174" s="47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</row>
    <row r="175" spans="15:42" s="6" customFormat="1" x14ac:dyDescent="0.25">
      <c r="O175" s="2"/>
      <c r="P175" s="52"/>
      <c r="Q175" s="47"/>
      <c r="R175" s="47"/>
      <c r="S175" s="47"/>
      <c r="T175" s="47"/>
      <c r="U175" s="47"/>
      <c r="V175" s="47"/>
      <c r="W175" s="47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</row>
    <row r="176" spans="15:42" s="6" customFormat="1" x14ac:dyDescent="0.25">
      <c r="O176" s="2"/>
      <c r="P176" s="52"/>
      <c r="Q176" s="47"/>
      <c r="R176" s="47"/>
      <c r="S176" s="47"/>
      <c r="T176" s="47"/>
      <c r="U176" s="47"/>
      <c r="V176" s="47"/>
      <c r="W176" s="47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</row>
    <row r="177" spans="15:42" s="6" customFormat="1" x14ac:dyDescent="0.25">
      <c r="O177" s="2"/>
      <c r="P177" s="52"/>
      <c r="Q177" s="47"/>
      <c r="R177" s="47"/>
      <c r="S177" s="47"/>
      <c r="T177" s="47"/>
      <c r="U177" s="47"/>
      <c r="V177" s="47"/>
      <c r="W177" s="47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</row>
    <row r="178" spans="15:42" s="6" customFormat="1" x14ac:dyDescent="0.25">
      <c r="O178" s="2"/>
      <c r="P178" s="52"/>
      <c r="Q178" s="47"/>
      <c r="R178" s="47"/>
      <c r="S178" s="47"/>
      <c r="T178" s="47"/>
      <c r="U178" s="47"/>
      <c r="V178" s="47"/>
      <c r="W178" s="47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</row>
    <row r="179" spans="15:42" s="6" customFormat="1" x14ac:dyDescent="0.25">
      <c r="O179" s="2"/>
      <c r="P179" s="52"/>
      <c r="Q179" s="47"/>
      <c r="R179" s="47"/>
      <c r="S179" s="47"/>
      <c r="T179" s="47"/>
      <c r="U179" s="47"/>
      <c r="V179" s="47"/>
      <c r="W179" s="47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</row>
    <row r="180" spans="15:42" s="6" customFormat="1" x14ac:dyDescent="0.25">
      <c r="O180" s="2"/>
      <c r="P180" s="52"/>
      <c r="Q180" s="47"/>
      <c r="R180" s="47"/>
      <c r="S180" s="47"/>
      <c r="T180" s="47"/>
      <c r="U180" s="47"/>
      <c r="V180" s="47"/>
      <c r="W180" s="47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</row>
    <row r="181" spans="15:42" s="6" customFormat="1" x14ac:dyDescent="0.25">
      <c r="O181" s="2"/>
      <c r="P181" s="52"/>
      <c r="Q181" s="47"/>
      <c r="R181" s="47"/>
      <c r="S181" s="47"/>
      <c r="T181" s="47"/>
      <c r="U181" s="47"/>
      <c r="V181" s="47"/>
      <c r="W181" s="47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</row>
    <row r="182" spans="15:42" s="6" customFormat="1" x14ac:dyDescent="0.25">
      <c r="O182" s="2"/>
      <c r="P182" s="52"/>
      <c r="Q182" s="47"/>
      <c r="R182" s="47"/>
      <c r="S182" s="47"/>
      <c r="T182" s="47"/>
      <c r="U182" s="47"/>
      <c r="V182" s="47"/>
      <c r="W182" s="47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</row>
    <row r="183" spans="15:42" s="6" customFormat="1" x14ac:dyDescent="0.25">
      <c r="O183" s="2"/>
      <c r="P183" s="52"/>
      <c r="Q183" s="47"/>
      <c r="R183" s="47"/>
      <c r="S183" s="47"/>
      <c r="T183" s="47"/>
      <c r="U183" s="47"/>
      <c r="V183" s="47"/>
      <c r="W183" s="47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</row>
    <row r="184" spans="15:42" s="6" customFormat="1" x14ac:dyDescent="0.25">
      <c r="O184" s="2"/>
      <c r="P184" s="52"/>
      <c r="Q184" s="47"/>
      <c r="R184" s="47"/>
      <c r="S184" s="47"/>
      <c r="T184" s="47"/>
      <c r="U184" s="47"/>
      <c r="V184" s="47"/>
      <c r="W184" s="47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</row>
    <row r="185" spans="15:42" s="6" customFormat="1" x14ac:dyDescent="0.25">
      <c r="O185" s="2"/>
      <c r="P185" s="52"/>
      <c r="Q185" s="47"/>
      <c r="R185" s="47"/>
      <c r="S185" s="47"/>
      <c r="T185" s="47"/>
      <c r="U185" s="47"/>
      <c r="V185" s="47"/>
      <c r="W185" s="47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</row>
    <row r="186" spans="15:42" s="6" customFormat="1" x14ac:dyDescent="0.25">
      <c r="O186" s="2"/>
      <c r="P186" s="52"/>
      <c r="Q186" s="47"/>
      <c r="R186" s="47"/>
      <c r="S186" s="47"/>
      <c r="T186" s="47"/>
      <c r="U186" s="47"/>
      <c r="V186" s="47"/>
      <c r="W186" s="47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</row>
    <row r="187" spans="15:42" s="6" customFormat="1" x14ac:dyDescent="0.25">
      <c r="O187" s="2"/>
      <c r="P187" s="52"/>
      <c r="Q187" s="47"/>
      <c r="R187" s="47"/>
      <c r="S187" s="47"/>
      <c r="T187" s="47"/>
      <c r="U187" s="47"/>
      <c r="V187" s="47"/>
      <c r="W187" s="47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</row>
    <row r="188" spans="15:42" s="6" customFormat="1" x14ac:dyDescent="0.25">
      <c r="O188" s="2"/>
      <c r="P188" s="52"/>
      <c r="Q188" s="47"/>
      <c r="R188" s="47"/>
      <c r="S188" s="47"/>
      <c r="T188" s="47"/>
      <c r="U188" s="47"/>
      <c r="V188" s="47"/>
      <c r="W188" s="47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</row>
    <row r="189" spans="15:42" s="6" customFormat="1" x14ac:dyDescent="0.25">
      <c r="O189" s="2"/>
      <c r="P189" s="52"/>
      <c r="Q189" s="47"/>
      <c r="R189" s="47"/>
      <c r="S189" s="47"/>
      <c r="T189" s="47"/>
      <c r="U189" s="47"/>
      <c r="V189" s="47"/>
      <c r="W189" s="47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</row>
    <row r="190" spans="15:42" s="6" customFormat="1" x14ac:dyDescent="0.25">
      <c r="O190" s="2"/>
      <c r="P190" s="52"/>
      <c r="Q190" s="47"/>
      <c r="R190" s="47"/>
      <c r="S190" s="47"/>
      <c r="T190" s="47"/>
      <c r="U190" s="47"/>
      <c r="V190" s="47"/>
      <c r="W190" s="47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</row>
    <row r="191" spans="15:42" s="6" customFormat="1" x14ac:dyDescent="0.25">
      <c r="O191" s="2"/>
      <c r="P191" s="52"/>
      <c r="Q191" s="47"/>
      <c r="R191" s="47"/>
      <c r="S191" s="47"/>
      <c r="T191" s="47"/>
      <c r="U191" s="47"/>
      <c r="V191" s="47"/>
      <c r="W191" s="47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</row>
  </sheetData>
  <mergeCells count="2">
    <mergeCell ref="B8:J8"/>
    <mergeCell ref="Q5:W5"/>
  </mergeCells>
  <hyperlinks>
    <hyperlink ref="O13" r:id="rId1" display="https://www.aliexpress.com/item/1005001329500320.html?af=465576&amp;utm_campaign=465576&amp;aff_platform=portals-tool&amp;utm_medium=cpa&amp;dp=16f9cbd120f75584b0b2e637191be9ad&amp;cv=47843&amp;pvid=2a020a4a-d8c3-4977-84af-6dc515894de2&amp;mall_affr=pr3&amp;sk=_ePNSNV&amp;aff_trace_key=37a671123dfd4cefb9b4f4931734d739-1610196409641-08435-_ePNSNV&amp;rmsg=do_not_replacement&amp;scm=1007.23534.124000.0&amp;terminal_id=5129a28bcc5647e7b029e1bc972c0c1d&amp;utm_source=admitad&amp;utm_content=47843" xr:uid="{70A8E77C-4780-440D-8E05-B9465CA67806}"/>
    <hyperlink ref="O12" r:id="rId2" display="https://www.aliexpress.com/item/32976004601.html?cv=47843&amp;af=465576&amp;utm_campaign=465576&amp;aff_platform=portals-tool&amp;mall_affr=pr3&amp;utm_medium=cpa&amp;sk=_ePNSNV&amp;aff_trace_key=d72807ed800e47958de79e058016bf2d-1610196953699-05077-_ePNSNV&amp;dp=0ff5e0fc4a4c4bc4dd1b28ba19c2a931&amp;terminal_id=5129a28bcc5647e7b029e1bc972c0c1d&amp;utm_source=admitad&amp;utm_content=47843" xr:uid="{3CFABBB4-1EF8-4265-BC86-CBB5041A2D02}"/>
    <hyperlink ref="O16" r:id="rId3" display="https://de.aliexpress.com/item/1005001876017064.html?spm=a2g0o.productlist.main.21.18c6c815rviH6S&amp;algo_pvid=528c814b-898a-4e35-9178-9a7a6e7442c3&amp;algo_exp_id=528c814b-898a-4e35-9178-9a7a6e7442c3-10&amp;pdp_ext_f=%7B%22sku_id%22%3A%2212000017989482396%22%7D&amp;pdp_npi=2%40dis%21EUR%2129.78%2117.87%21%21%21%21%21%40211bd93f16756707554942492d0717%2112000017989482396%21sea&amp;curPageLogUid=MGJmVXWSHzyY" xr:uid="{653EC4BB-A784-4AD3-8E75-CC1D6DEE300F}"/>
    <hyperlink ref="O11" r:id="rId4" xr:uid="{8CFDFC0C-3014-4773-B320-D161C5F0F1D3}"/>
    <hyperlink ref="O21" r:id="rId5" display="https://www.aliexpress.com/item/32850843888.html?af=465576&amp;utm_campaign=465576&amp;aff_platform=portals-tool&amp;utm_medium=cpa&amp;dp=03f0bf3a571fccf011aa0d44ca93f79d&amp;cv=47843&amp;pvid=c5d89935-e291-438c-87de-47ce2c59d631&amp;mall_affr=pr3&amp;sk=_ePNSNV&amp;aff_trace_key=01731af2caa6468086aa0a98975dbe98-1610197384141-04255-_ePNSNV&amp;rmsg=do_not_replacement&amp;scm=1007.23534.124000.0&amp;terminal_id=5129a28bcc5647e7b029e1bc972c0c1d&amp;utm_source=admitad&amp;utm_content=47843" xr:uid="{B02525B7-0A39-45AB-92F6-BB9E71085083}"/>
    <hyperlink ref="O22" r:id="rId6" xr:uid="{5729CA3C-6D24-40EE-B81F-A3F8A3F1C21C}"/>
    <hyperlink ref="O35" r:id="rId7" display="https://www.aliexpress.com/item/33040577503.html?cv=47843&amp;af=465576&amp;utm_campaign=465576&amp;aff_platform=portals-tool&amp;mall_affr=pr3&amp;utm_medium=cpa&amp;sk=_ePNSNV&amp;aff_trace_key=914e0231839c41bd8c36e88a577556d3-1610197520416-00170-_ePNSNV&amp;dp=afa991c139a6e5fddcb8f0d40a821464&amp;terminal_id=5129a28bcc5647e7b029e1bc972c0c1d&amp;utm_source=admitad&amp;utm_content=47843" xr:uid="{5CC3DD28-5442-4304-BC48-407E7520099A}"/>
    <hyperlink ref="O23" r:id="rId8" display="https://www.aliexpress.com/item/32665100123.html?af=465576&amp;utm_campaign=465576&amp;aff_platform=portals-tool&amp;utm_medium=cpa&amp;dp=f35eb73ab5977043d71b7efa22ec647c&amp;cv=47843&amp;pvid=4b73aa09-f01b-4058-a9f1-1adedc808770&amp;mall_affr=pr3&amp;sk=_ePNSNV&amp;aff_trace_key=6a48d41835244962b96050963e1cbba4-1610197597201-07119-_ePNSNV&amp;rmsg=do_not_replacement&amp;scm=1007.23534.124000.0&amp;terminal_id=5129a28bcc5647e7b029e1bc972c0c1d&amp;utm_source=admitad&amp;utm_content=47843" xr:uid="{D865B05D-E815-41D0-84EF-2AD583023456}"/>
    <hyperlink ref="O25" r:id="rId9" display="https://www.aliexpress.com/item/32340867544.html?af=465576&amp;utm_campaign=465576&amp;aff_platform=portals-tool&amp;utm_medium=cpa&amp;dp=fbc7c9abf1e8b445e24f0d08c57bdd39&amp;cv=47843&amp;pvid=ae6ed85f-4a71-4d33-90a3-7311412a9e48&amp;mall_affr=pr3&amp;sk=_ePNSNV&amp;aff_trace_key=b8ab6a498f284c07a3930c28fe263bce-1610198048860-03863-_ePNSNV&amp;rmsg=do_not_replacement&amp;scm=1007.23534.124000.0&amp;terminal_id=5129a28bcc5647e7b029e1bc972c0c1d&amp;utm_source=admitad&amp;utm_content=47843" xr:uid="{934541F3-95C1-448C-944C-F0818CDB4682}"/>
    <hyperlink ref="O43" r:id="rId10" display="https://www.aliexpress.com/item/33055608252.html?cv=47843&amp;af=465576&amp;utm_campaign=465576&amp;aff_platform=portals-tool&amp;mall_affr=pr3&amp;utm_medium=cpa&amp;sk=_ePNSNV&amp;aff_trace_key=bf64da4102554de0932cb8fbd24c4fc4-1610198126314-06579-_ePNSNV&amp;dp=e20a47faa6d83d04ebf18c8700f115f3&amp;terminal_id=5129a28bcc5647e7b029e1bc972c0c1d&amp;utm_source=admitad&amp;utm_content=47843" xr:uid="{AAFE5334-54EC-48FC-9CB9-C771DA72B8F4}"/>
    <hyperlink ref="O44" r:id="rId11" display="https://www.aliexpress.com/item/33055608252.html?cv=47843&amp;af=465576&amp;utm_campaign=465576&amp;aff_platform=portals-tool&amp;mall_affr=pr3&amp;utm_medium=cpa&amp;sk=_ePNSNV&amp;aff_trace_key=bf64da4102554de0932cb8fbd24c4fc4-1610198126314-06579-_ePNSNV&amp;dp=e20a47faa6d83d04ebf18c8700f115f3&amp;terminal_id=5129a28bcc5647e7b029e1bc972c0c1d&amp;utm_source=admitad&amp;utm_content=47843" xr:uid="{4CC8186E-933F-4205-B677-B8F7F39653EC}"/>
    <hyperlink ref="O49" r:id="rId12" display="https://www.aliexpress.com/item/32851664724.html?cv=47843&amp;af=465576&amp;utm_campaign=465576&amp;aff_platform=api-new-hotproduct-download&amp;mall_affr=pr3&amp;utm_medium=cpa&amp;aff_trace_key=514db1c639914122bb1e50353cd7f1e5-1610198306954-09201&amp;dp=6a0ebdb7067bab70dca0f86d99a97e2a&amp;terminal_id=5129a28bcc5647e7b029e1bc972c0c1d&amp;tmLog=new_Detail&amp;utm_source=admitad&amp;utm_content=47843" xr:uid="{2974BCB6-27BD-48DB-9EB4-A50F2B8A51DE}"/>
    <hyperlink ref="O26" r:id="rId13" display="https://www.aliexpress.com/item/32884941176.html?af=465576&amp;utm_campaign=465576&amp;aff_platform=portals-tool&amp;utm_medium=cpa&amp;dp=0b6ae5fb2be685f7a9d4402a3f95ca3e&amp;cv=47843&amp;pvid=b2d3f4c1-868d-4cfd-a965-d5c5bf9fc94f&amp;mall_affr=pr3&amp;sk=_ePNSNV&amp;aff_trace_key=abc2f4c9861244eba79cd505e7b98750-1610198440095-08539-_ePNSNV&amp;rmsg=do_not_replacement&amp;scm=1007.23534.124000.0&amp;terminal_id=5129a28bcc5647e7b029e1bc972c0c1d&amp;utm_source=admitad&amp;utm_content=47843" xr:uid="{F0787441-837D-48E4-9F49-6717B0A9855C}"/>
    <hyperlink ref="O27" r:id="rId14" display="https://www.aliexpress.com/item/32874720049.html?af=465576&amp;utm_campaign=465576&amp;aff_platform=portals-tool&amp;utm_medium=cpa&amp;dp=9e7a0b943430ed6344cf826789cf7c68&amp;cv=47843&amp;pvid=c7c6ad6a-da3b-4e3f-9f04-24d00f055459&amp;mall_affr=pr3&amp;sk=_ePNSNV&amp;aff_trace_key=f31b261d23a54ba89b4dc81b0ae82d6e-1610198501238-05192-_ePNSNV&amp;rmsg=do_not_replacement&amp;scm=1007.23534.124000.0&amp;terminal_id=5129a28bcc5647e7b029e1bc972c0c1d&amp;utm_source=admitad&amp;utm_content=47843" xr:uid="{9E2B7DE7-19C3-412F-8CA9-92C609DC9F5F}"/>
    <hyperlink ref="O88" r:id="rId15" display="https://www.aliexpress.com/item/33002494308.html?cv=47843&amp;af=465576&amp;utm_campaign=465576&amp;aff_platform=portals-tool&amp;mall_affr=pr3&amp;utm_medium=cpa&amp;sk=_ePNSNV&amp;aff_trace_key=46aceab540dd41a6a4daf3aaefd997ee-1610198587367-08192-_ePNSNV&amp;dp=c049ecd8fa436ea484b311e5036bf380&amp;terminal_id=5129a28bcc5647e7b029e1bc972c0c1d&amp;utm_source=admitad&amp;utm_content=47843" xr:uid="{28B4CDBD-6BDD-4F59-B6E0-4F80CB6459DA}"/>
    <hyperlink ref="O82" r:id="rId16" display="https://www.aliexpress.com/item/32878065864.html?af=465576&amp;utm_campaign=465576&amp;aff_platform=portals-tool&amp;utm_medium=cpa&amp;dp=cb0b40293ba915c02a2a8aa2a8819f75&amp;cv=47843&amp;pvid=707d8177-7673-4638-99d8-76b7de883fa5&amp;mall_affr=pr3&amp;sk=_ePNSNV&amp;aff_trace_key=02a705a8792a4488800acc86342fb7d3-1610198754939-04799-_ePNSNV&amp;rmsg=do_not_replacement&amp;scm=1007.23534.124000.0&amp;terminal_id=5129a28bcc5647e7b029e1bc972c0c1d&amp;utm_source=admitad&amp;utm_content=47843" xr:uid="{4D41B452-C0FC-4055-BFB9-00D07A931D67}"/>
    <hyperlink ref="O29" r:id="rId17" display="https://www.aliexpress.com/item/32964734700.html?cv=47843&amp;af=465576&amp;utm_campaign=465576&amp;aff_platform=portals-tool&amp;mall_affr=pr3&amp;utm_medium=cpa&amp;sk=_ePNSNV&amp;aff_trace_key=5ab1fdc62f3443b6a63abd3b64d48657-1610199008053-04926-_ePNSNV&amp;dp=3bfbf36fdffeca970c0dd9d2be642090&amp;terminal_id=5129a28bcc5647e7b029e1bc972c0c1d&amp;utm_source=admitad&amp;utm_content=47843" xr:uid="{8B7CFE91-C6B7-4354-9B29-A5C1CFEE0EFB}"/>
    <hyperlink ref="O30" r:id="rId18" display="https://www.aliexpress.com/item/32817897264.html?af=465576&amp;utm_campaign=465576&amp;aff_platform=portals-tool&amp;utm_medium=cpa&amp;dp=e3a75b333ae60aceabaf79e3323ff879&amp;cv=47843&amp;pvid=b4e3cf5e-293f-4e33-803e-21363bc299c6&amp;mall_affr=pr3&amp;sk=_ePNSNV&amp;aff_trace_key=fb4aab0065a34ccb958b23548640d0e6-1610199127890-04130-_ePNSNV&amp;rmsg=do_not_replacement&amp;scm=1007.23534.124000.0&amp;terminal_id=5129a28bcc5647e7b029e1bc972c0c1d&amp;utm_source=admitad&amp;utm_content=47843" xr:uid="{A6E56A19-F437-4E95-86B1-3C515E860C2B}"/>
    <hyperlink ref="O80" r:id="rId19" display="https://www.aliexpress.com/item/32712430715.html?af=465576&amp;utm_campaign=465576&amp;aff_platform=portals-tool&amp;utm_medium=cpa&amp;dp=2c2ae5ad6dc4c603275fb82f48f4ff39&amp;cv=47843&amp;pvid=df067a57-6f2b-42fd-a260-9412bbafc8d9&amp;mall_affr=pr3&amp;sk=_ePNSNV&amp;aff_trace_key=26c7ead4713548cbaac420421214e6fe-1610199223636-04402-_ePNSNV&amp;rmsg=do_not_replacement&amp;scm=1007.23534.124000.0&amp;terminal_id=5129a28bcc5647e7b029e1bc972c0c1d&amp;utm_source=admitad&amp;utm_content=47843" xr:uid="{64E9600A-21F4-4CE3-B165-92BE48694FFD}"/>
    <hyperlink ref="O41" r:id="rId20" display="https://www.aliexpress.com/item/32959006111.html?cv=47843&amp;af=465576&amp;utm_campaign=465576&amp;aff_platform=portals-tool&amp;mall_affr=pr3&amp;utm_medium=cpa&amp;sk=_ePNSNV&amp;aff_trace_key=da5e27e472a44ee88fa7bd305e0aa633-1610199276612-00596-_ePNSNV&amp;dp=9f371625c62d03d0d9254efd32095474&amp;terminal_id=5129a28bcc5647e7b029e1bc972c0c1d&amp;utm_source=admitad&amp;utm_content=47843" xr:uid="{AA00293B-C4CB-4F26-BB8C-F25CB01EF678}"/>
    <hyperlink ref="O31" r:id="rId21" display="https://www.aliexpress.com/item/32348760733.html?af=465576&amp;utm_campaign=465576&amp;aff_platform=portals-tool&amp;utm_medium=cpa&amp;dp=eca71e19a5b89951aaf3c27ed2a436cd&amp;cv=47843&amp;pvid=52fa3314-f16f-4485-ad20-9c32ba439336&amp;mall_affr=pr3&amp;sk=_ePNSNV&amp;aff_trace_key=6e03b88a056b4f5da3cc3ee4f0389b3c-1610199343877-06661-_ePNSNV&amp;rmsg=do_not_replacement&amp;scm=1007.23534.124000.0&amp;terminal_id=5129a28bcc5647e7b029e1bc972c0c1d&amp;utm_source=admitad&amp;utm_content=47843" xr:uid="{015DBC6D-3D99-47B5-88E3-CD8FEEBD2B4C}"/>
    <hyperlink ref="O33" r:id="rId22" display="https://www.aliexpress.com/item/32477198302.html?af=465576&amp;utm_campaign=465576&amp;aff_platform=portals-tool&amp;utm_medium=cpa&amp;dp=c0e39add5cf065fad821555cc6e08405&amp;cv=47843&amp;pvid=bad1c086-0224-4f15-b61e-f360f7ed73a9&amp;mall_affr=pr3&amp;sk=_ePNSNV&amp;aff_trace_key=a13494d4a46e4196b00317d03b578254-1610200606701-01223-_ePNSNV&amp;rmsg=do_not_replacement&amp;scm=1007.23534.124000.0&amp;terminal_id=470d6ec222324ffbad52bb9eff613be9&amp;utm_source=admitad&amp;utm_content=47843" xr:uid="{E34DF01E-95C6-4442-8D14-994C7CA9918B}"/>
    <hyperlink ref="O34" r:id="rId23" display="https://www.aliexpress.com/item/32341874990.html?af=465576&amp;utm_campaign=465576&amp;aff_platform=portals-tool&amp;utm_medium=cpa&amp;dp=94f2502f575d199a67164cc42f6b6be6&amp;cv=47843&amp;pvid=7e94d2ba-932f-4599-8578-5e8ba980c2de&amp;mall_affr=pr3&amp;sk=_ePNSNV&amp;aff_trace_key=8d5cca16d0f54ae98bc2c7db72754ed2-1610200627958-05106-_ePNSNV&amp;rmsg=do_not_replacement&amp;scm=1007.23534.124000.0&amp;terminal_id=470d6ec222324ffbad52bb9eff613be9&amp;utm_source=admitad&amp;utm_content=47843" xr:uid="{BE212C62-8551-42B6-988B-9A8F31B5BC57}"/>
    <hyperlink ref="O36" r:id="rId24" display="https://www.aliexpress.com/item/32215648796.html?af=465576&amp;utm_campaign=465576&amp;aff_platform=portals-tool&amp;utm_medium=cpa&amp;dp=e28e52b5f922947bd2773d9d65993ba1&amp;cv=47843&amp;pvid=08b25a28-93d5-48b3-9aa7-16ac5e847186&amp;mall_affr=pr3&amp;sk=_ePNSNV&amp;aff_trace_key=2b60e023fc11416090b467d270af95f7-1610200866886-06499-_ePNSNV&amp;rmsg=do_not_replacement&amp;scm=1007.23534.124000.0&amp;terminal_id=470d6ec222324ffbad52bb9eff613be9&amp;utm_source=admitad&amp;utm_content=47843" xr:uid="{8F79F317-796C-4BDF-92C9-220E5FA25193}"/>
    <hyperlink ref="O65" r:id="rId25" xr:uid="{0617D2DA-0449-48FC-BA01-CE2B6393EC8C}"/>
    <hyperlink ref="O66" r:id="rId26" xr:uid="{CEC3E10E-6556-4A03-9631-1219D856D609}"/>
    <hyperlink ref="O40" r:id="rId27" display="https://www.aliexpress.com/item/32966564111.html?af=465576&amp;utm_campaign=465576&amp;aff_platform=portals-tool&amp;utm_medium=cpa&amp;dp=fe3e52ef4afe5aa36fec5e2cd912983c&amp;cv=47843&amp;pvid=30ece110-b318-44ed-b56c-c528f3c69782&amp;mall_affr=pr3&amp;sk=_ePNSNV&amp;aff_trace_key=b3ab03124f414167a7e90689e9f3ff3f-1610201341206-05147-_ePNSNV&amp;rmsg=do_not_replacement&amp;scm=1007.23534.124000.0&amp;terminal_id=470d6ec222324ffbad52bb9eff613be9&amp;utm_source=admitad&amp;utm_content=47843" xr:uid="{9FF3103C-C652-4473-85F3-A194891BFCC4}"/>
    <hyperlink ref="O57" r:id="rId28" display="https://www.aliexpress.com/item/32867865319.html?af=465576&amp;utm_campaign=465576&amp;aff_platform=portals-tool&amp;utm_medium=cpa&amp;dp=7a594ff16f9c6c3f6d712a11d34eba42&amp;cv=47843&amp;pvid=643aba07-e95e-42fd-9624-3cf28f33c9c5&amp;mall_affr=pr3&amp;sk=_ePNSNV&amp;aff_trace_key=d93f69c117ad4ae4bf420e01724cae0f-1610201121259-08584-_ePNSNV&amp;rmsg=do_not_replacement&amp;scm=1007.23534.124000.0&amp;terminal_id=470d6ec222324ffbad52bb9eff613be9&amp;utm_source=admitad&amp;utm_content=47843" xr:uid="{67CC57C8-5828-4E80-AA24-AEA4A4FD70A2}"/>
    <hyperlink ref="O61" r:id="rId29" xr:uid="{61D2DD94-EB2E-4829-B709-49BF4672E81E}"/>
    <hyperlink ref="O62" r:id="rId30" xr:uid="{507EECE7-D7EF-4B8D-8E05-B321A3E2719B}"/>
    <hyperlink ref="O96" r:id="rId31" xr:uid="{4EFC72B8-3E39-4AA0-ADD4-474E19E6B864}"/>
    <hyperlink ref="O97" r:id="rId32" display="https://www.aliexpress.com/item/1005001636295529.html?spm=a2g0o.productlist.0.0.6d682f6bOezilb&amp;algo_pvid=8f23d670-7958-4db3-bd03-95487a6e764a&amp;algo_expid=8f23d670-7958-4db3-bd03-95487a6e764a-1&amp;btsid=0b0a0ac216102110652348718e3a23&amp;ws_ab_test=searchweb0_0,searchweb201602_,searchweb201603_" xr:uid="{060ED4E6-D592-4038-BB6A-7476ED71AB62}"/>
    <hyperlink ref="O98" r:id="rId33" display="https://www.aliexpress.com/item/32771873030.html?spm=a2g0o.productlist.0.0.1198731fL8dbSV&amp;algo_pvid=581bf272-69b4-447d-ac88-2604cd4bb0f3&amp;algo_expid=581bf272-69b4-447d-ac88-2604cd4bb0f3-5&amp;btsid=2100bde716102111720713328eb83f&amp;ws_ab_test=searchweb0_0,searchweb201602_,searchweb201603_" xr:uid="{8537D496-9F4F-45FA-AD72-A27E0E2255AD}"/>
    <hyperlink ref="O45" r:id="rId34" xr:uid="{4C4FA3A8-3EBA-45CD-B724-83C10728EFF9}"/>
    <hyperlink ref="O101" r:id="rId35" display="https://www.aliexpress.com/item/1967124495.html?af=465576&amp;utm_campaign=465576&amp;aff_platform=portals-tool&amp;utm_medium=cpa&amp;dp=c8bb293c7cdc161c0fee4fdc919b5155&amp;cv=47843&amp;pvid=4d0d62ee-f13f-425b-9171-438a21db26ef&amp;mall_affr=pr3&amp;sk=_ePNSNV&amp;aff_trace_key=9a117bc0d6b44f8ea00f7c81e8198736-1610212450755-02393-_ePNSNV&amp;rmsg=do_not_replacement&amp;scm=1007.23534.124000.0&amp;terminal_id=5129a28bcc5647e7b029e1bc972c0c1d&amp;utm_source=admitad&amp;utm_content=47843" xr:uid="{8FD5C1FD-B658-44A5-8108-DE99ED474267}"/>
    <hyperlink ref="O71" r:id="rId36" display="https://www.aliexpress.com/item/32872439317.html?cv=47843&amp;af=465576&amp;utm_campaign=465576&amp;aff_platform=api-new-hotproduct-download&amp;mall_affr=pr3&amp;utm_medium=cpa&amp;aff_trace_key=03610de63769415592472be9164364a9-1610212584888-08645&amp;dp=b4ab68d5f07af9aa1891c952b153b7f3&amp;terminal_id=5129a28bcc5647e7b029e1bc972c0c1d&amp;tmLog=new_Detail&amp;utm_source=admitad&amp;utm_content=47843" xr:uid="{B2C6C1D6-D095-4491-819E-F46CB8206640}"/>
    <hyperlink ref="O69" r:id="rId37" display="https://www.aliexpress.com/item/32683014332.html?cv=47843&amp;af=465576&amp;utm_campaign=465576&amp;aff_platform=portals-tool&amp;mall_affr=pr3&amp;utm_medium=cpa&amp;sk=_ePNSNV&amp;aff_trace_key=f99770f2a41e40b680de770372b822a9-1610212643714-06026-_ePNSNV&amp;dp=3bf2cb02f728d1ece206aba652325263&amp;terminal_id=5129a28bcc5647e7b029e1bc972c0c1d&amp;utm_source=admitad&amp;utm_content=47843" xr:uid="{28B96679-F45D-47FC-8F82-505BFE581329}"/>
    <hyperlink ref="O70" r:id="rId38" display="https://www.aliexpress.com/item/561395251.html?cv=47843&amp;af=465576&amp;utm_campaign=465576&amp;aff_platform=portals-tool&amp;mall_affr=pr3&amp;utm_medium=cpa&amp;sk=_ePNSNV&amp;aff_trace_key=bd9ed898f2e34b9bb459075c00220735-1610212690876-09246-_ePNSNV&amp;dp=aab20e275fe66492eaf1bd2fef52e2a9&amp;terminal_id=5129a28bcc5647e7b029e1bc972c0c1d&amp;utm_source=admitad&amp;utm_content=47843" xr:uid="{CD0B7A10-B186-45FA-8C2B-587DF87AF8FB}"/>
    <hyperlink ref="O86" r:id="rId39" display="https://www.aliexpress.com/item/32878065864.html?af=465576&amp;utm_campaign=465576&amp;aff_platform=portals-tool&amp;utm_medium=cpa&amp;dp=cb0b40293ba915c02a2a8aa2a8819f75&amp;cv=47843&amp;pvid=707d8177-7673-4638-99d8-76b7de883fa5&amp;mall_affr=pr3&amp;sk=_ePNSNV&amp;aff_trace_key=02a705a8792a4488800acc86342fb7d3-1610198754939-04799-_ePNSNV&amp;rmsg=do_not_replacement&amp;scm=1007.23534.124000.0&amp;terminal_id=5129a28bcc5647e7b029e1bc972c0c1d&amp;utm_source=admitad&amp;utm_content=47843" xr:uid="{C3153534-2FB3-4855-8DD6-5B45047C5A35}"/>
    <hyperlink ref="O87" r:id="rId40" display="https://www.aliexpress.com/item/32341874990.html?af=465576&amp;utm_campaign=465576&amp;aff_platform=portals-tool&amp;utm_medium=cpa&amp;dp=94f2502f575d199a67164cc42f6b6be6&amp;cv=47843&amp;pvid=7e94d2ba-932f-4599-8578-5e8ba980c2de&amp;mall_affr=pr3&amp;sk=_ePNSNV&amp;aff_trace_key=8d5cca16d0f54ae98bc2c7db72754ed2-1610200627958-05106-_ePNSNV&amp;rmsg=do_not_replacement&amp;scm=1007.23534.124000.0&amp;terminal_id=470d6ec222324ffbad52bb9eff613be9&amp;utm_source=admitad&amp;utm_content=47843" xr:uid="{5A687FF6-56DF-4455-92CE-554615FAD0F2}"/>
    <hyperlink ref="O85" r:id="rId41" display="https://www.aliexpress.com/item/32556087234.html?af=465576&amp;utm_campaign=465576&amp;aff_platform=portals-tool&amp;utm_medium=cpa&amp;dp=644cf8aafe642b25fb631478c4182d4d&amp;cv=47843&amp;pvid=f6013a11-8e56-4d18-bf5c-36e9ecc3398e&amp;mall_affr=pr3&amp;sk=_ePNSNV&amp;aff_trace_key=1bf2984076384009841259d1fb5a295f-1610213837445-00181-_ePNSNV&amp;rmsg=do_not_replacement&amp;scm=1007.23534.124000.0&amp;terminal_id=5129a28bcc5647e7b029e1bc972c0c1d&amp;utm_source=admitad&amp;utm_content=47843" xr:uid="{AC9C83A3-D4C8-4468-A86B-2FE7A9D275BF}"/>
    <hyperlink ref="O50" r:id="rId42" xr:uid="{CA1F05B0-2EBA-4A9F-9356-72EC247D5064}"/>
    <hyperlink ref="O89" r:id="rId43" xr:uid="{F2715949-F06D-4A22-B13E-4ACB756DDDAB}"/>
    <hyperlink ref="O102" r:id="rId44" display="https://www.aliexpress.com/item/32462149418.html?af=465576&amp;utm_campaign=465576&amp;aff_platform=portals-tool&amp;utm_medium=cpa&amp;dp=656da2d75ddcb054a33d32a243e7b678&amp;cv=47843&amp;pvid=66538326-55dd-464c-b23e-b3570117c943&amp;mall_affr=pr3&amp;sk=_ePNSNV&amp;aff_trace_key=b062543313754279a17500dce34cce22-1610212478677-03409-_ePNSNV&amp;rmsg=do_not_replacement&amp;scm=1007.23534.124000.0&amp;terminal_id=5129a28bcc5647e7b029e1bc972c0c1d&amp;utm_source=admitad&amp;utm_content=47843" xr:uid="{D37607DC-76ED-4683-BA09-BCE7AF531737}"/>
    <hyperlink ref="O19" r:id="rId45" display="https://de.aliexpress.com/item/1005001928029759.html?aff_fcid=51cc9084d15345b78193db85f86aeed9-1635593237443-01471-_2a2fZ5z&amp;aff_fsk=_2a2fZ5z&amp;aff_platform=api-new-link-generate&amp;sk=_2a2fZ5z&amp;aff_trace_key=51cc9084d15345b78193db85f86aeed9-1635593237443-01471-_2a2fZ5z&amp;terminal_id=b55c7d14397e49f88f10b2dd656f05fc" xr:uid="{12FCCF9B-A577-42FD-B18A-2EA8D2C32C20}"/>
    <hyperlink ref="O20" r:id="rId46" xr:uid="{568FB3A6-58B9-40B3-B3B1-09B2D264A9DB}"/>
    <hyperlink ref="O24" r:id="rId47" display="https://de.aliexpress.com/item/1005001287283298.html?spm=a2g0o.productlist.main.29.58b43e14fMncxM&amp;algo_pvid=975a621a-6b1b-4bfd-a042-0bd7a9db81e1&amp;algo_exp_id=975a621a-6b1b-4bfd-a042-0bd7a9db81e1-14&amp;pdp_ext_f=%7B%22sku_id%22%3A%2212000015580372803%22%7D&amp;pdp_npi=2%40dis%21EUR%210.3%210.28%21%21%21%21%21%40211bf48d16756713511757673d06b6%2112000015580372803%21sea&amp;curPageLogUid=MlEgHGq2f9Tl" xr:uid="{8CD14E00-0A95-46E1-95BB-217906A88909}"/>
    <hyperlink ref="O39" r:id="rId48" display="https://de.aliexpress.com/item/1005004090772903.html?spm=a2g0o.productlist.main.23.6b981e56ZGAtYP&amp;algo_pvid=9425ddd3-8117-4389-a64e-107cec62b640&amp;algo_exp_id=9425ddd3-8117-4389-a64e-107cec62b640-11&amp;pdp_ext_f=%7B%22sku_id%22%3A%2212000028000420511%22%7D&amp;pdp_npi=2%40dis%21EUR%211.0%210.8%21%21%21%21%21%402102169316756717565988696d06ed%2112000028000420511%21sea&amp;curPageLogUid=bm9I1aEacbp5" xr:uid="{5703DE4A-50F8-469B-9A5F-BF0E565FF35A}"/>
    <hyperlink ref="O42" r:id="rId49" display="https://de.aliexpress.com/item/10000002013575.html?spm=a2g0o.productlist.main.19.5ed02f4bRgb882&amp;algo_pvid=02611ed5-54f3-4d1f-b711-62094e4ac68f&amp;algo_exp_id=02611ed5-54f3-4d1f-b711-62094e4ac68f-9&amp;pdp_ext_f=%7B%22sku_id%22%3A%2220000000005864123%22%7D&amp;pdp_npi=2%40dis%21EUR%212.18%211.53%21%21%21%21%21%40210217c716756718816368839d06bc%2120000000005864123%21sea&amp;curPageLogUid=iO1umRWBu3hH" xr:uid="{ADD9BC57-1D57-4BC6-804F-1DB7ED6E3C62}"/>
    <hyperlink ref="O47" r:id="rId50" display="https://de.aliexpress.com/item/32484040246.html?spm=a2g0o.productlist.main.1.ae854632LKFzX8&amp;algo_pvid=6b7b30a4-84e9-45e5-adf5-72e811465eac&amp;aem_p4p_detail=202302060027583717108438030000000437127&amp;algo_exp_id=6b7b30a4-84e9-45e5-adf5-72e811465eac-0&amp;pdp_ext_f=%7B%22sku_id%22%3A%2210000006782105056%22%7D&amp;pdp_npi=2%40dis%21EUR%211.77%210.09%21%21%21%21%21%402145288516756720787835813d0761%2110000006782105056%21sea&amp;curPageLogUid=bK3JvQFx8Mm6&amp;ad_pvid=202302060027583717108438030000000437127_1&amp;ad_pvid=202302060027583717108438030000000437127_1" xr:uid="{7A83D54C-93C2-4F35-A45A-A9BAAD897DB8}"/>
    <hyperlink ref="O53" r:id="rId51" display="https://de.aliexpress.com/item/1005002357962115.html?spm=a2g0o.productlist.main.7.56c05bbaxufMJB&amp;algo_pvid=054a80ec-2bba-45ba-98ba-8c7142172634&amp;aem_p4p_detail=202302060046164941164128176000000495200&amp;algo_exp_id=054a80ec-2bba-45ba-98ba-8c7142172634-3&amp;pdp_ext_f=%7B%22sku_id%22%3A%2212000020286938090%22%7D&amp;pdp_npi=2%40dis%21EUR%212.66%210.09%21%21%21%21%21%402100b18f16756731762857982d070b%2112000020286938090%21sea&amp;curPageLogUid=b51AueqxXBMZ&amp;ad_pvid=202302060046164941164128176000000495200_4&amp;ad_pvid=202302060046164941164128176000000495200_4" xr:uid="{F125B1A7-679B-402F-ADA5-ED78060B506E}"/>
    <hyperlink ref="O54" r:id="rId52" display="https://de.aliexpress.com/item/1005002320975566.html?spm=a2g0o.store_pc_allProduct.0.0.6a2f55adhyGJOA&amp;pdp_ext_f=%7B%22sku_id%22%3A%2212000020086896796%22%2C%22ship_from%22%3A%22CN%22%7D&amp;gps-id=pcStoreJustForYou&amp;scm=1007.23125.137358.0&amp;scm_id=1007.23125.137358.0&amp;scm-url=1007.23125.137358.0&amp;pvid=e81cb63a-6e9e-4304-ab47-e62a8ee566fe&amp;gatewayAdapt=glo2deu" xr:uid="{838BAE7D-3172-490E-995E-65869862384F}"/>
    <hyperlink ref="O92" r:id="rId53" display="https://de.aliexpress.com/item/32992442253.html?spm=a2g0o.productlist.main.15.521921a10Iuvzm&amp;algo_pvid=7a5c6ed5-158c-4ff1-9052-57721456e0ba&amp;aem_p4p_detail=20230206011350686239335822810000558261&amp;algo_exp_id=7a5c6ed5-158c-4ff1-9052-57721456e0ba-7&amp;pdp_ext_f=%7B%22sku_id%22%3A%2212000025199342771%22%7D&amp;pdp_npi=2%40dis%21EUR%215.49%214.72%21%21%21%21%21%402100bb6416756748303354535d073e%2112000025199342771%21sea&amp;curPageLogUid=tdrr6gsAcykp&amp;ad_pvid=20230206011350686239335822810000558261_8&amp;ad_pvid=20230206011350686239335822810000558261_8" xr:uid="{921737C8-88FF-4EE1-8D3A-7C650F49F2A5}"/>
  </hyperlinks>
  <pageMargins left="0.7" right="0.7" top="0.75" bottom="0.75" header="0.3" footer="0.3"/>
  <pageSetup paperSize="9" orientation="portrait" r:id="rId54"/>
  <legacyDrawing r:id="rId5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Read, Philip (Surface Solutions)</cp:lastModifiedBy>
  <dcterms:created xsi:type="dcterms:W3CDTF">2015-06-05T18:19:34Z</dcterms:created>
  <dcterms:modified xsi:type="dcterms:W3CDTF">2023-02-06T09:17:37Z</dcterms:modified>
</cp:coreProperties>
</file>